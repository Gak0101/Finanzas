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204850266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933ffba50cdf41d7"/>
    <x:sheet xmlns:r="http://schemas.openxmlformats.org/officeDocument/2006/relationships" name="Watchlist" sheetId="2" r:id="R8d391570c49b4fc2"/>
    <x:sheet xmlns:r="http://schemas.openxmlformats.org/officeDocument/2006/relationships" name="Analisis_Prioritario" sheetId="3" r:id="Rda6451a198c94590"/>
    <x:sheet xmlns:r="http://schemas.openxmlformats.org/officeDocument/2006/relationships" name="Ranking_10Bagger" sheetId="4" r:id="R0ff83303a5e6485e"/>
    <x:sheet xmlns:r="http://schemas.openxmlformats.org/officeDocument/2006/relationships" name="Checklist_Lynch" sheetId="5" r:id="Rc6a088aeb4424bd6"/>
    <x:sheet xmlns:r="http://schemas.openxmlformats.org/officeDocument/2006/relationships" name="Historial" sheetId="6" r:id="R9ed67dad764a48e6"/>
    <x:sheet xmlns:r="http://schemas.openxmlformats.org/officeDocument/2006/relationships" name="Plantilla_Ficha" sheetId="7" r:id="R8fe4a356856f4eec"/>
    <x:sheet xmlns:r="http://schemas.openxmlformats.org/officeDocument/2006/relationships" name="Fuentes_Audit" sheetId="8" r:id="Rc7b82b2bbbe94e02"/>
    <x:sheet xmlns:r="http://schemas.openxmlformats.org/officeDocument/2006/relationships" name="Seguimiento" sheetId="9" r:id="Rf1bd4611ec064d09"/>
    <x:sheet xmlns:r="http://schemas.openxmlformats.org/officeDocument/2006/relationships" name="Descartadas" sheetId="10" r:id="Rf931ee80861f43e5"/>
    <x:sheet xmlns:r="http://schemas.openxmlformats.org/officeDocument/2006/relationships" name="Checks" sheetId="11" r:id="Rd0a5044f601f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&quot;x&quot;"/>
    <x:numFmt numFmtId="202" formatCode="0"/>
    <x:numFmt numFmtId="203" formatCode="yyyy-mm-dd"/>
    <x:numFmt numFmtId="204" formatCode="#,##0.0"/>
    <x:numFmt numFmtId="205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1"/>
      <x:color rgb="FF17365D"/>
      <x:name val="Carlito"/>
    </x:font>
    <x:font>
      <x:sz val="11"/>
      <x:color rgb="FF000000"/>
      <x:name val="Carlito"/>
    </x:font>
    <x:font>
      <x:b/>
      <x:sz val="10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203" fontId="7" fillId="0" borderId="0" xfId="0" applyNumberFormat="1" applyFont="1" applyFill="1" applyBorder="1"/>
    <x:xf numFmtId="200" fontId="7" fillId="0" borderId="0" xfId="0" applyNumberFormat="1" applyFont="1" applyFill="1" applyBorder="1"/>
    <x:xf numFmtId="204" fontId="7" fillId="0" borderId="0" xfId="0" applyNumberFormat="1" applyFont="1" applyFill="1" applyBorder="1"/>
    <x:xf numFmtId="201" fontId="7" fillId="0" borderId="0" xfId="0" applyNumberFormat="1" applyFont="1" applyFill="1" applyBorder="1"/>
    <x:xf numFmtId="205" fontId="7" fillId="0" borderId="0" xfId="0" applyNumberFormat="1" applyFont="1" applyFill="1" applyBorder="1"/>
    <x:xf numFmtId="201" fontId="4" fillId="0" borderId="0" xfId="0" applyNumberFormat="1" applyFont="1" applyFill="1" applyBorder="1"/>
    <x:xf numFmtId="202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3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5" fontId="7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5" fontId="7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/>
    <x:xf numFmtId="205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5" fontId="4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5" fontId="4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/>
    </x:xf>
    <x:xf numFmtId="202" fontId="8" fillId="0" borderId="0" xfId="0" applyNumberFormat="1" applyFont="1" applyFill="1" applyBorder="1" applyAlignment="1">
      <x:alignment horizontal="center"/>
    </x:xf>
    <x:xf numFmtId="204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7" fillId="0" borderId="0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/>
    <x:xf numFmtId="204" fontId="4" fillId="0" borderId="0" xfId="0" applyNumberFormat="1" applyFont="1" applyFill="1" applyBorder="1"/>
    <x:xf numFmtId="203" fontId="6" fillId="0" borderId="0" xfId="0" applyNumberFormat="1" applyFont="1" applyFill="1" applyBorder="1"/>
    <x:xf numFmtId="202" fontId="8" fillId="0" borderId="0" xfId="0" applyNumberFormat="1" applyFont="1" applyFill="1" applyBorder="1" applyAlignment="1">
      <x:alignment horizontal="center" wrapText="1"/>
    </x:xf>
    <x:xf numFmtId="204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horizontal="center" wrapText="1"/>
    </x:xf>
    <x:xf numFmtId="202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horizontal="center" vertical="center" wrapText="1"/>
    </x:xf>
    <x:xf numFmtId="204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4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7" fillId="7" borderId="0" xfId="0" applyNumberFormat="1" applyFont="1" applyFill="1" applyBorder="1"/>
    <x:xf numFmtId="203" fontId="7" fillId="7" borderId="0" xfId="0" applyNumberFormat="1" applyFont="1" applyFill="1" applyBorder="1"/>
    <x:xf numFmtId="0" fontId="7" fillId="3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3" fontId="7" fillId="7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203" fontId="7" fillId="7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3ced6cc4e49f4" /><Relationship Type="http://schemas.openxmlformats.org/officeDocument/2006/relationships/theme" Target="/xl/theme/theme1.xml" Id="R62dbfc000a70448b" /><Relationship Type="http://schemas.openxmlformats.org/officeDocument/2006/relationships/sharedStrings" Target="/xl/sharedStrings.xml" Id="R9bcc58b6a0264c83" /><Relationship Type="http://schemas.openxmlformats.org/officeDocument/2006/relationships/worksheet" Target="/xl/worksheets/sheet1.xml" Id="R933ffba50cdf41d7" /><Relationship Type="http://schemas.openxmlformats.org/officeDocument/2006/relationships/worksheet" Target="/xl/worksheets/sheet2.xml" Id="R8d391570c49b4fc2" /><Relationship Type="http://schemas.openxmlformats.org/officeDocument/2006/relationships/worksheet" Target="/xl/worksheets/sheet3.xml" Id="Rda6451a198c94590" /><Relationship Type="http://schemas.openxmlformats.org/officeDocument/2006/relationships/worksheet" Target="/xl/worksheets/sheet4.xml" Id="R0ff83303a5e6485e" /><Relationship Type="http://schemas.openxmlformats.org/officeDocument/2006/relationships/worksheet" Target="/xl/worksheets/sheet5.xml" Id="Rc6a088aeb4424bd6" /><Relationship Type="http://schemas.openxmlformats.org/officeDocument/2006/relationships/worksheet" Target="/xl/worksheets/sheet6.xml" Id="R9ed67dad764a48e6" /><Relationship Type="http://schemas.openxmlformats.org/officeDocument/2006/relationships/worksheet" Target="/xl/worksheets/sheet7.xml" Id="R8fe4a356856f4eec" /><Relationship Type="http://schemas.openxmlformats.org/officeDocument/2006/relationships/worksheet" Target="/xl/worksheets/sheet8.xml" Id="Rc7b82b2bbbe94e02" /><Relationship Type="http://schemas.openxmlformats.org/officeDocument/2006/relationships/worksheet" Target="/xl/worksheets/sheet9.xml" Id="Rf1bd4611ec064d09" /><Relationship Type="http://schemas.openxmlformats.org/officeDocument/2006/relationships/worksheet" Target="/xl/worksheets/sheet10.xml" Id="Rf931ee80861f43e5" /><Relationship Type="http://schemas.openxmlformats.org/officeDocument/2006/relationships/worksheet" Target="/xl/worksheets/sheet11.xml" Id="Rd0a5044f601f4161" /></Relationships>
</file>

<file path=xl/tables/table1.xml><?xml version="1.0" encoding="utf-8"?>
<x:table xmlns:x="http://schemas.openxmlformats.org/spreadsheetml/2006/main" id="1" name="QuickView" displayName="QuickView" ref="A11:H33" headerRowCount="1" totalsRowCount="0" totalsRowShown="0">
  <x:tableColumns count="8">
    <x:tableColumn id="1" name="Empresa"/>
    <x:tableColumn id="2" name="Ticker"/>
    <x:tableColumn id="3" name="Tipo"/>
    <x:tableColumn id="4" name="Precio"/>
    <x:tableColumn id="5" name="PER"/>
    <x:tableColumn id="6" name="Score"/>
    <x:tableColumn id="7" name="Veredicto"/>
    <x:tableColumn id="8" name="Prior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listTable" displayName="WatchlistTable" ref="A4:AB26" headerRowCount="1" totalsRowCount="0" totalsRowShown="0">
  <x:tableColumns count="28">
    <x:tableColumn id="1" name="Empresa"/>
    <x:tableColumn id="2" name="Ticker"/>
    <x:tableColumn id="3" name="Bolsa"/>
    <x:tableColumn id="4" name="Tipo / categoría Lynch"/>
    <x:tableColumn id="5" name="Fecha salida"/>
    <x:tableColumn id="6" name="Moneda / cuentas"/>
    <x:tableColumn id="7" name="Precio"/>
    <x:tableColumn id="8" name="Capitalización (m)"/>
    <x:tableColumn id="9" name="PER informado"/>
    <x:tableColumn id="10" name="EPS"/>
    <x:tableColumn id="11" name="Dividendo anual"/>
    <x:tableColumn id="12" name="Yield"/>
    <x:tableColumn id="13" name="Ventas / net contribution último (m)"/>
    <x:tableColumn id="14" name="Crec. ventas"/>
    <x:tableColumn id="15" name="Crec. EBITDA / beneficio"/>
    <x:tableColumn id="16" name="FCF último (m)"/>
    <x:tableColumn id="17" name="Deuda neta (+) / caja neta (-) (m)"/>
    <x:tableColumn id="18" name="PEG heurístico*"/>
    <x:tableColumn id="19" name="Catalizador"/>
    <x:tableColumn id="20" name="Riesgo principal"/>
    <x:tableColumn id="21" name="Próximo evento"/>
    <x:tableColumn id="22" name="Veredicto Lynch"/>
    <x:tableColumn id="23" name="Prioridad"/>
    <x:tableColumn id="24" name="As of"/>
    <x:tableColumn id="25" name="Fuente mercado"/>
    <x:tableColumn id="26" name="Fuente resultados"/>
    <x:tableColumn id="27" name="Score Lynch"/>
    <x:tableColumn id="28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orityAnalysisTable" displayName="PriorityAnalysisTable" ref="A4:V8" headerRowCount="1" totalsRowCount="0" totalsRowShown="0">
  <x:tableColumns count="22">
    <x:tableColumn id="1" name="Empresa"/>
    <x:tableColumn id="2" name="Ticker"/>
    <x:tableColumn id="3" name="Precio actual (GBX)"/>
    <x:tableColumn id="4" name="EPS referencia (GBX)"/>
    <x:tableColumn id="5" name="PER actual"/>
    <x:tableColumn id="6" name="EPS bajo"/>
    <x:tableColumn id="7" name="EPS base"/>
    <x:tableColumn id="8" name="EPS alto"/>
    <x:tableColumn id="9" name="PER bajo"/>
    <x:tableColumn id="10" name="PER base"/>
    <x:tableColumn id="11" name="PER alto"/>
    <x:tableColumn id="12" name="Precio razonable bajo (GBX)"/>
    <x:tableColumn id="13" name="Precio razonable base (GBX)"/>
    <x:tableColumn id="14" name="Precio razonable alto (GBX)"/>
    <x:tableColumn id="15" name="Margen seguridad"/>
    <x:tableColumn id="16" name="Precio entrada base (GBX)"/>
    <x:tableColumn id="17" name="Upside base"/>
    <x:tableColumn id="18" name="Catalizador / qué comprobar"/>
    <x:tableColumn id="19" name="Invalidación"/>
    <x:tableColumn id="20" name="Decisión provisional"/>
    <x:tableColumn id="21" name="Próxima revisión"/>
    <x:tableColumn id="22" name="Fuen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nking10BaggerTable" displayName="Ranking10BaggerTable" ref="A4:S26" headerRowCount="1" totalsRowCount="0" totalsRowShown="0">
  <x:tableColumns count="19">
    <x:tableColumn id="1" name="Orden"/>
    <x:tableColumn id="2" name="Empresa"/>
    <x:tableColumn id="3" name="Ticker"/>
    <x:tableColumn id="4" name="Tipo Lynch"/>
    <x:tableColumn id="5" name="Capitalización (m)"/>
    <x:tableColumn id="6" name="PER"/>
    <x:tableColumn id="7" name="Score Lynch /16"/>
    <x:tableColumn id="8" name="Crecimiento / runway (0-5)"/>
    <x:tableColumn id="9" name="Valoración (0-5)"/>
    <x:tableColumn id="10" name="Balance / caja (0-4)"/>
    <x:tableColumn id="11" name="Tamaño / escala (0-4)"/>
    <x:tableColumn id="12" name="Catalizador / palanca (0-4)"/>
    <x:tableColumn id="13" name="Score 10Bagger /22"/>
    <x:tableColumn id="14" name="Capitalización x10 (m)"/>
    <x:tableColumn id="15" name="Rating relativo"/>
    <x:tableColumn id="16" name="Motivo principal / freno"/>
    <x:tableColumn id="17" name="Próxima revisión"/>
    <x:tableColumn id="18" name="Fuentes"/>
    <x:tableColumn id="19" name="Veredicto actu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cklistTable" displayName="ChecklistTable" ref="A4:O26" headerRowCount="1" totalsRowCount="0" totalsRowShown="0">
  <x:tableColumns count="15">
    <x:tableColumn id="1" name="Empresa"/>
    <x:tableColumn id="2" name="Ticker"/>
    <x:tableColumn id="3" name="Negocio comprensible (0-2)"/>
    <x:tableColumn id="4" name="Historia / catalizador (0-2)"/>
    <x:tableColumn id="5" name="Crecimiento (0-2)"/>
    <x:tableColumn id="6" name="Valoración (0-2)"/>
    <x:tableColumn id="7" name="Balance / caja (0-2)"/>
    <x:tableColumn id="8" name="Dividendo / recompra (0-1)"/>
    <x:tableColumn id="9" name="Insiders / ownership (0-1)"/>
    <x:tableColumn id="10" name="Riesgos manejables (0-2)"/>
    <x:tableColumn id="11" name="Evidencia / disciplina (0-2)"/>
    <x:tableColumn id="12" name="Total"/>
    <x:tableColumn id="13" name="Veredicto"/>
    <x:tableColumn id="14" name="Qué falta comprobar"/>
    <x:tableColumn id="15" name="Última revisió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istoryTable" displayName="HistoryTable" ref="A4:P35" headerRowCount="1" totalsRowCount="0" totalsRowShown="0">
  <x:tableColumns count="16">
    <x:tableColumn id="1" name="Empresa"/>
    <x:tableColumn id="2" name="Ticker"/>
    <x:tableColumn id="3" name="Periodo"/>
    <x:tableColumn id="4" name="Tipo"/>
    <x:tableColumn id="5" name="Moneda"/>
    <x:tableColumn id="6" name="Ventas / net contribution (m)"/>
    <x:tableColumn id="7" name="Crec. ventas"/>
    <x:tableColumn id="8" name="EBITDA / op. profit (m)"/>
    <x:tableColumn id="9" name="Crec. EBITDA"/>
    <x:tableColumn id="10" name="Beneficio / PAT (m)"/>
    <x:tableColumn id="11" name="EPS"/>
    <x:tableColumn id="12" name="FCF (m)"/>
    <x:tableColumn id="13" name="Caja neta (-) / deuda neta (+) (m)"/>
    <x:tableColumn id="14" name="KPI operativo"/>
    <x:tableColumn id="15" name="Fuente ID"/>
    <x:tableColumn id="16" name="Not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G85" headerRowCount="1" totalsRowCount="0" totalsRowShown="0">
  <x:tableColumns count="7">
    <x:tableColumn id="1" name="Fuente ID"/>
    <x:tableColumn id="2" name="Empresa"/>
    <x:tableColumn id="3" name="Fecha"/>
    <x:tableColumn id="4" name="Tipo"/>
    <x:tableColumn id="5" name="Qué respalda"/>
    <x:tableColumn id="6" name="URL"/>
    <x:tableColumn id="7" name="Nota de calidad / us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ollowUpTable" displayName="FollowUpTable" ref="A4:L26" headerRowCount="1" totalsRowCount="0" totalsRowShown="0">
  <x:tableColumns count="12">
    <x:tableColumn id="1" name="Empresa"/>
    <x:tableColumn id="2" name="Ticker"/>
    <x:tableColumn id="3" name="Última revisión"/>
    <x:tableColumn id="4" name="Próxima revisión"/>
    <x:tableColumn id="5" name="Tipo"/>
    <x:tableColumn id="6" name="Métricas a comparar"/>
    <x:tableColumn id="7" name="Dato base"/>
    <x:tableColumn id="8" name="Qué debe mejorar / mantenerse"/>
    <x:tableColumn id="9" name="Condición de invalidación"/>
    <x:tableColumn id="10" name="Acción siguiente"/>
    <x:tableColumn id="11" name="Fuente / evento"/>
    <x:tableColumn id="12" name="Estad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jectedTable" displayName="RejectedTable" ref="A4:J5" headerRowCount="1" totalsRowCount="0" totalsRowShown="0">
  <x:tableColumns count="10">
    <x:tableColumn id="1" name="Empresa"/>
    <x:tableColumn id="2" name="Ticker"/>
    <x:tableColumn id="3" name="Fecha salida"/>
    <x:tableColumn id="4" name="Precio"/>
    <x:tableColumn id="5" name="PER"/>
    <x:tableColumn id="6" name="Rent. 1 año"/>
    <x:tableColumn id="7" name="Ventas FY25 (m)"/>
    <x:tableColumn id="8" name="Crec. ventas"/>
    <x:tableColumn id="9" name="FCF FY25 (m)"/>
    <x:tableColumn id="10" name="Motivo de no selecció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ecksTable" displayName="ChecksTable" ref="A4:D14" headerRowCount="1" totalsRowCount="0" totalsRowShown="0">
  <x:tableColumns count="4">
    <x:tableColumn id="1" name="Comprobación"/>
    <x:tableColumn id="2" name="Valor"/>
    <x:tableColumn id="3" name="Estado"/>
    <x:tableColumn id="4" name="Qué signif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246fb5927f4f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e6ee07d0e64d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16b8b20772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f55f980a3746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b91c6df3204c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1f6902fefa442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1876c282e846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5e10085b0043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54d7ef1fe5547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57ca6ca3a2442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5" hidden="0" customWidth="1"/>
    <x:col min="3" max="3" width="100.87999725341797" hidden="0" customWidth="1"/>
    <x:col min="4" max="4" width="20" hidden="0" customWidth="1"/>
    <x:col min="5" max="5" width="18" hidden="0" customWidth="1"/>
    <x:col min="6" max="6" width="100.87999725341797" hidden="0" customWidth="1"/>
    <x:col min="7" max="7" width="35" hidden="0" customWidth="1"/>
    <x:col min="8" max="8" width="100.87999725341797" hidden="0" customWidth="1"/>
  </x:cols>
  <x:sheetData>
    <x:row r="1" ht="19.200000762939453" hidden="0" customHeight="1">
      <x:c r="A1" s="34" t="str">
        <x:v>Watchlist de acciones — enfoque Lynch</x:v>
      </x:c>
      <x:c r="B1" s="34" t="str">
        <x:v>Watchlist de acciones — enfoque Lynch</x:v>
      </x:c>
      <x:c r="C1" s="34" t="str">
        <x:v>Watchlist de acciones — enfoque Lynch</x:v>
      </x:c>
      <x:c r="D1" s="34" t="str">
        <x:v>Watchlist de acciones — enfoque Lynch</x:v>
      </x:c>
      <x:c r="E1" s="34" t="str">
        <x:v>Watchlist de acciones — enfoque Lynch</x:v>
      </x:c>
      <x:c r="F1" s="34" t="str">
        <x:v>Watchlist de acciones — enfoque Lynch</x:v>
      </x:c>
      <x:c r="G1" s="34" t="str">
        <x:v>Watchlist de acciones — enfoque Lynch</x:v>
      </x:c>
      <x:c r="H1" s="34" t="str">
        <x:v>Watchlist de acciones — enfoque Lynch</x:v>
      </x:c>
    </x:row>
    <x:row r="2" ht="24" hidden="0" customHeight="1">
      <x:c r="A2" s="8" t="str">
        <x:v>Plantilla de investigación y seguimiento. Fecha de corte: 2026-08-04. Las conclusiones son hipótesis de trabajo, no una recomendación personalizada.</x:v>
      </x:c>
      <x:c r="B2" s="8" t="str">
        <x:v>Plantilla de investigación y seguimiento. Fecha de corte: 2026-08-04. Las conclusiones son hipótesis de trabajo, no una recomendación personalizada.</x:v>
      </x:c>
      <x:c r="C2" s="8" t="str">
        <x:v>Plantilla de investigación y seguimiento. Fecha de corte: 2026-08-04. Las conclusiones son hipótesis de trabajo, no una recomendación personalizada.</x:v>
      </x:c>
      <x:c r="D2" s="8" t="str">
        <x:v>Plantilla de investigación y seguimiento. Fecha de corte: 2026-08-04. Las conclusiones son hipótesis de trabajo, no una recomendación personalizada.</x:v>
      </x:c>
      <x:c r="E2" s="8" t="str">
        <x:v>Plantilla de investigación y seguimiento. Fecha de corte: 2026-08-04. Las conclusiones son hipótesis de trabajo, no una recomendación personalizada.</x:v>
      </x:c>
      <x:c r="F2" s="8" t="str">
        <x:v>Plantilla de investigación y seguimiento. Fecha de corte: 2026-08-04. Las conclusiones son hipótesis de trabajo, no una recomendación personalizada.</x:v>
      </x:c>
      <x:c r="G2" s="8" t="str">
        <x:v>Plantilla de investigación y seguimiento. Fecha de corte: 2026-08-04. Las conclusiones son hipótesis de trabajo, no una recomendación personalizada.</x:v>
      </x:c>
      <x:c r="H2" s="8" t="str">
        <x:v>Plantilla de investigación y seguimiento. Fecha de corte: 2026-08-04. Las conclusiones son hipótesis de trabajo, no una recomendación personalizada.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</x:row>
    <x:row r="4" ht="105.5999984741211" hidden="0" customHeight="1">
      <x:c r="A4" s="35" t="str">
        <x:v>Objetivo</x:v>
      </x:c>
      <x:c r="B4" s="28" t="str">
        <x:v>Convertir una idea en una tesis comprobable y actualizable.</x:v>
      </x:c>
      <x:c r="C4" s="33"/>
      <x:c r="D4" s="33"/>
      <x:c r="E4" s="33"/>
      <x:c r="F4" s="33"/>
      <x:c r="G4" s="33"/>
      <x:c r="H4" s="33"/>
    </x:row>
    <x:row r="5" ht="145.1999969482422" hidden="0" customHeight="1">
      <x:c r="A5" s="35" t="str">
        <x:v>Método</x:v>
      </x:c>
      <x:c r="B5" s="28" t="str">
        <x:v>Negocio comprensible + historia/catalizador + crecimiento + PER/valoración + balance + riesgos.</x:v>
      </x:c>
      <x:c r="C5" s="33"/>
      <x:c r="D5" s="33"/>
      <x:c r="E5" s="33"/>
      <x:c r="F5" s="33"/>
      <x:c r="G5" s="33"/>
      <x:c r="H5" s="33"/>
    </x:row>
    <x:row r="6" ht="118.80000305175781" hidden="0" customHeight="1">
      <x:c r="A6" s="35" t="str">
        <x:v>Cómo usarlo</x:v>
      </x:c>
      <x:c r="B6" s="28" t="str">
        <x:v>Actualiza en azul; conserva el enlace y la fecha de cada dato en Fuentes_Audit.</x:v>
      </x:c>
      <x:c r="C6" s="33"/>
      <x:c r="D6" s="33"/>
      <x:c r="E6" s="33"/>
      <x:c r="F6" s="33"/>
      <x:c r="G6" s="33"/>
      <x:c r="H6" s="33"/>
    </x:row>
    <x:row r="7" ht="145.1999969482422" hidden="0" customHeight="1">
      <x:c r="A7" s="35" t="str">
        <x:v>Regla</x:v>
      </x:c>
      <x:c r="B7" s="28" t="str">
        <x:v>Una puntuación alta no sustituye revisar deuda, dilución, resultados y precio de entrada.</x:v>
      </x:c>
      <x:c r="C7" s="33"/>
      <x:c r="D7" s="33"/>
      <x:c r="E7" s="33"/>
      <x:c r="F7" s="33"/>
      <x:c r="G7" s="33"/>
      <x:c r="H7" s="33"/>
    </x:row>
    <x:row r="8" ht="224.39999389648438" hidden="0" customHeight="1">
      <x:c r="A8" s="35" t="str">
        <x:v>Universo actual</x:v>
      </x:c>
      <x:c r="B8" s="28" t="str">
        <x:v>22 compañías: 7 ya estudiadas, 5 incorporaciones previas y 10 candidatas nuevas. Usa Seguimiento para saber qué revisar y cuándo.</x:v>
      </x:c>
      <x:c r="C8" s="33"/>
      <x:c r="D8" s="33"/>
      <x:c r="E8" s="33"/>
      <x:c r="F8" s="33"/>
      <x:c r="G8" s="33"/>
      <x:c r="H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</x:row>
    <x:row r="10" ht="15" hidden="0" customHeight="1">
      <x:c r="A10" s="36" t="str">
        <x:v>Lectura rápida de la watchlist</x:v>
      </x:c>
      <x:c r="B10" s="36" t="str">
        <x:v>Lectura rápida de la watchlist</x:v>
      </x:c>
      <x:c r="C10" s="36" t="str">
        <x:v>Lectura rápida de la watchlist</x:v>
      </x:c>
      <x:c r="D10" s="36" t="str">
        <x:v>Lectura rápida de la watchlist</x:v>
      </x:c>
      <x:c r="E10" s="36" t="str">
        <x:v>Lectura rápida de la watchlist</x:v>
      </x:c>
      <x:c r="F10" s="36" t="str">
        <x:v>Lectura rápida de la watchlist</x:v>
      </x:c>
      <x:c r="G10" s="36" t="str">
        <x:v>Lectura rápida de la watchlist</x:v>
      </x:c>
      <x:c r="H10" s="36" t="str">
        <x:v>Lectura rápida de la watchlist</x:v>
      </x:c>
    </x:row>
    <x:row r="11" ht="15" hidden="0" customHeight="1">
      <x:c r="A11" s="20" t="str">
        <x:v>Empresa</x:v>
      </x:c>
      <x:c r="B11" s="20" t="str">
        <x:v>Ticker</x:v>
      </x:c>
      <x:c r="C11" s="20" t="str">
        <x:v>Tipo</x:v>
      </x:c>
      <x:c r="D11" s="20" t="str">
        <x:v>Precio</x:v>
      </x:c>
      <x:c r="E11" s="20" t="str">
        <x:v>PER</x:v>
      </x:c>
      <x:c r="F11" s="20" t="str">
        <x:v>Score</x:v>
      </x:c>
      <x:c r="G11" s="20" t="str">
        <x:v>Veredicto</x:v>
      </x:c>
      <x:c r="H11" s="20" t="str">
        <x:v>Prioridad</x:v>
      </x:c>
    </x:row>
    <x:row r="12" ht="26.399999618530273" hidden="0" customHeight="1">
      <x:c r="A12" s="33" t="str">
        <x:v>Atalaya Mining</x:v>
      </x:c>
      <x:c r="B12" s="33" t="str">
        <x:v>ATYM</x:v>
      </x:c>
      <x:c r="C12" s="33" t="str">
        <x:v>Existente / cíclica</x:v>
      </x:c>
      <x:c r="D12" s="37" t="n">
        <x:v>917</x:v>
      </x:c>
      <x:c r="E12" s="38" t="n">
        <x:v>17.29</x:v>
      </x:c>
      <x:c r="F12" s="39" t="n">
        <x:f>'Watchlist'!AA5</x:f>
        <x:v>11</x:v>
      </x:c>
      <x:c r="G12" s="40" t="str">
        <x:f>'Watchlist'!V5</x:f>
        <x:v>Esperar / vigilar</x:v>
      </x:c>
      <x:c r="H12" s="40" t="n">
        <x:f>'Watchlist'!W5</x:f>
        <x:v>2</x:v>
      </x:c>
    </x:row>
    <x:row r="13" ht="26.399999618530273" hidden="0" customHeight="1">
      <x:c r="A13" s="33" t="str">
        <x:v>Rio Tinto</x:v>
      </x:c>
      <x:c r="B13" s="33" t="str">
        <x:v>RIO</x:v>
      </x:c>
      <x:c r="C13" s="33" t="str">
        <x:v>Existente / cíclica</x:v>
      </x:c>
      <x:c r="D13" s="37" t="n">
        <x:v>7313</x:v>
      </x:c>
      <x:c r="E13" s="38" t="n">
        <x:v>16.05</x:v>
      </x:c>
      <x:c r="F13" s="39" t="n">
        <x:f>'Watchlist'!AA6</x:f>
        <x:v>14</x:v>
      </x:c>
      <x:c r="G13" s="40" t="str">
        <x:f>'Watchlist'!V6</x:f>
        <x:v>Compra escalonada / vigilar precio</x:v>
      </x:c>
      <x:c r="H13" s="40" t="n">
        <x:f>'Watchlist'!W6</x:f>
        <x:v>1</x:v>
      </x:c>
    </x:row>
    <x:row r="14" ht="52.79999923706055" hidden="0" customHeight="1">
      <x:c r="A14" s="33" t="str">
        <x:v>eToro</x:v>
      </x:c>
      <x:c r="B14" s="33" t="str">
        <x:v>ETOR</x:v>
      </x:c>
      <x:c r="C14" s="33" t="str">
        <x:v>Nueva / alto crecimiento</x:v>
      </x:c>
      <x:c r="D14" s="37" t="n">
        <x:v>37.06</x:v>
      </x:c>
      <x:c r="E14" s="38" t="n">
        <x:v>15.47</x:v>
      </x:c>
      <x:c r="F14" s="39" t="n">
        <x:f>'Watchlist'!AA7</x:f>
        <x:v>12</x:v>
      </x:c>
      <x:c r="G14" s="40" t="str">
        <x:f>'Watchlist'!V7</x:f>
        <x:v>Vigilar / posible entrada pequeña</x:v>
      </x:c>
      <x:c r="H14" s="40" t="n">
        <x:f>'Watchlist'!W7</x:f>
        <x:v>2</x:v>
      </x:c>
    </x:row>
    <x:row r="15" ht="39.599998474121094" hidden="0" customHeight="1">
      <x:c r="A15" s="33" t="str">
        <x:v>HBX Group</x:v>
      </x:c>
      <x:c r="B15" s="33" t="str">
        <x:v>HBX</x:v>
      </x:c>
      <x:c r="C15" s="33" t="str">
        <x:v>Nueva / crecimiento-cíclica</x:v>
      </x:c>
      <x:c r="D15" s="37" t="n">
        <x:v>7.71</x:v>
      </x:c>
      <x:c r="E15" s="38" t="n">
        <x:v>10.21</x:v>
      </x:c>
      <x:c r="F15" s="39" t="n">
        <x:f>'Watchlist'!AA8</x:f>
        <x:v>12</x:v>
      </x:c>
      <x:c r="G15" s="40" t="str">
        <x:f>'Watchlist'!V8</x:f>
        <x:v>Vigilar / oportunidad con margen</x:v>
      </x:c>
      <x:c r="H15" s="40" t="n">
        <x:f>'Watchlist'!W8</x:f>
        <x:v>1</x:v>
      </x:c>
    </x:row>
    <x:row r="16" ht="52.79999923706055" hidden="0" customHeight="1">
      <x:c r="A16" s="33" t="str">
        <x:v>Figma</x:v>
      </x:c>
      <x:c r="B16" s="33" t="str">
        <x:v>FIG</x:v>
      </x:c>
      <x:c r="C16" s="33" t="str">
        <x:v>Nueva / alto crecimiento</x:v>
      </x:c>
      <x:c r="D16" s="37" t="n">
        <x:v>27.26</x:v>
      </x:c>
      <x:c r="E16" s="38" t="n">
        <x:v>-6.78</x:v>
      </x:c>
      <x:c r="F16" s="39" t="n">
        <x:f>'Watchlist'!AA9</x:f>
        <x:v>10</x:v>
      </x:c>
      <x:c r="G16" s="40" t="str">
        <x:f>'Watchlist'!V9</x:f>
        <x:v>Esperar / no comprar antes de resultados</x:v>
      </x:c>
      <x:c r="H16" s="40" t="n">
        <x:f>'Watchlist'!W9</x:f>
        <x:v>3</x:v>
      </x:c>
    </x:row>
    <x:row r="17" ht="39.599998474121094" hidden="0" customHeight="1">
      <x:c r="A17" s="33" t="str">
        <x:v>JD Sports</x:v>
      </x:c>
      <x:c r="B17" s="33" t="str">
        <x:v>JD.</x:v>
      </x:c>
      <x:c r="C17" s="33" t="str">
        <x:v>Madura / crecimiento</x:v>
      </x:c>
      <x:c r="D17" s="37" t="n">
        <x:v>86.18</x:v>
      </x:c>
      <x:c r="E17" s="38" t="n">
        <x:v>9.99</x:v>
      </x:c>
      <x:c r="F17" s="39" t="n">
        <x:f>'Watchlist'!AA10</x:f>
        <x:v>11</x:v>
      </x:c>
      <x:c r="G17" s="40" t="str">
        <x:f>'Watchlist'!V10</x:f>
        <x:v>Oportunidad condicional / vigilar márgenes</x:v>
      </x:c>
      <x:c r="H17" s="40" t="n">
        <x:f>'Watchlist'!W10</x:f>
        <x:v>1</x:v>
      </x:c>
    </x:row>
    <x:row r="18" ht="39.599998474121094" hidden="0" customHeight="1">
      <x:c r="A18" s="33" t="str">
        <x:v>PayPal</x:v>
      </x:c>
      <x:c r="B18" s="33" t="str">
        <x:v>PYPL</x:v>
      </x:c>
      <x:c r="C18" s="33" t="str">
        <x:v>Madura / recuperable</x:v>
      </x:c>
      <x:c r="D18" s="37" t="n">
        <x:v>58.335</x:v>
      </x:c>
      <x:c r="E18" s="38" t="n">
        <x:v>11.03</x:v>
      </x:c>
      <x:c r="F18" s="39" t="n">
        <x:f>'Watchlist'!AA11</x:f>
        <x:v>11</x:v>
      </x:c>
      <x:c r="G18" s="40" t="str">
        <x:f>'Watchlist'!V11</x:f>
        <x:v>Oportunidad especulativa / vigilar ejecución</x:v>
      </x:c>
      <x:c r="H18" s="40" t="n">
        <x:f>'Watchlist'!W11</x:f>
        <x:v>2</x:v>
      </x:c>
    </x:row>
    <x:row r="19" ht="39.599998474121094" hidden="0" customHeight="1">
      <x:c r="A19" s="33" t="str">
        <x:v>Wise</x:v>
      </x:c>
      <x:c r="B19" s="33" t="str">
        <x:v>WISE</x:v>
      </x:c>
      <x:c r="C19" s="33" t="str">
        <x:v>Alto crecimiento / calidad</x:v>
      </x:c>
      <x:c r="D19" s="37" t="n">
        <x:v>905.6</x:v>
      </x:c>
      <x:c r="E19" s="38" t="n">
        <x:v>24.38</x:v>
      </x:c>
      <x:c r="F19" s="39" t="n">
        <x:f>'Watchlist'!AA12</x:f>
        <x:v>12</x:v>
      </x:c>
      <x:c r="G19" s="40" t="str">
        <x:f>'Watchlist'!V12</x:f>
        <x:v>Vigilar / crecimiento con precio exigente</x:v>
      </x:c>
      <x:c r="H19" s="40" t="n">
        <x:f>'Watchlist'!W12</x:f>
        <x:v>2</x:v>
      </x:c>
    </x:row>
    <x:row r="20" ht="39.599998474121094" hidden="0" customHeight="1">
      <x:c r="A20" s="33" t="str">
        <x:v>Auto Trader</x:v>
      </x:c>
      <x:c r="B20" s="33" t="str">
        <x:v>AUTO</x:v>
      </x:c>
      <x:c r="C20" s="33" t="str">
        <x:v>Madura / crecimiento</x:v>
      </x:c>
      <x:c r="D20" s="37" t="n">
        <x:v>532.4</x:v>
      </x:c>
      <x:c r="E20" s="38" t="n">
        <x:v>15.58</x:v>
      </x:c>
      <x:c r="F20" s="39" t="n">
        <x:f>'Watchlist'!AA13</x:f>
        <x:v>13</x:v>
      </x:c>
      <x:c r="G20" s="40" t="str">
        <x:f>'Watchlist'!V13</x:f>
        <x:v>Oportunidad condicional / vigilar Deal Builder</x:v>
      </x:c>
      <x:c r="H20" s="40" t="n">
        <x:f>'Watchlist'!W13</x:f>
        <x:v>1</x:v>
      </x:c>
    </x:row>
    <x:row r="21" ht="52.79999923706055" hidden="0" customHeight="1">
      <x:c r="A21" s="33" t="str">
        <x:v>B&amp;M European Value Retail</x:v>
      </x:c>
      <x:c r="B21" s="33" t="str">
        <x:v>BME</x:v>
      </x:c>
      <x:c r="C21" s="33" t="str">
        <x:v>Recuperable / cíclica</x:v>
      </x:c>
      <x:c r="D21" s="37" t="n">
        <x:v>225.8</x:v>
      </x:c>
      <x:c r="E21" s="38" t="n">
        <x:v>13.85</x:v>
      </x:c>
      <x:c r="F21" s="39" t="n">
        <x:f>'Watchlist'!AA14</x:f>
        <x:v>12</x:v>
      </x:c>
      <x:c r="G21" s="40" t="str">
        <x:f>'Watchlist'!V14</x:f>
        <x:v>Oportunidad de turnaround / esperar confirmación</x:v>
      </x:c>
      <x:c r="H21" s="40" t="n">
        <x:f>'Watchlist'!W14</x:f>
        <x:v>1</x:v>
      </x:c>
    </x:row>
    <x:row r="22" ht="26.399999618530273" hidden="0" customHeight="1">
      <x:c r="A22" s="33" t="str">
        <x:v>Kainos Group</x:v>
      </x:c>
      <x:c r="B22" s="33" t="str">
        <x:v>KNOS</x:v>
      </x:c>
      <x:c r="C22" s="33" t="str">
        <x:v>Crecimiento / nicho</x:v>
      </x:c>
      <x:c r="D22" s="37" t="n">
        <x:v>820</x:v>
      </x:c>
      <x:c r="E22" s="38" t="n">
        <x:v>23.1</x:v>
      </x:c>
      <x:c r="F22" s="39" t="n">
        <x:f>'Watchlist'!AA15</x:f>
        <x:v>13</x:v>
      </x:c>
      <x:c r="G22" s="40" t="str">
        <x:f>'Watchlist'!V15</x:f>
        <x:v>Vigilar / posible entrada pequeña</x:v>
      </x:c>
      <x:c r="H22" s="40" t="n">
        <x:f>'Watchlist'!W15</x:f>
        <x:v>2</x:v>
      </x:c>
    </x:row>
    <x:row r="23" ht="26.399999618530273" hidden="0" customHeight="1">
      <x:c r="A23" s="33" t="str">
        <x:v>Plus500</x:v>
      </x:c>
      <x:c r="B23" s="33" t="str">
        <x:v>PLUS</x:v>
      </x:c>
      <x:c r="C23" s="33" t="str">
        <x:v>Madura / cíclica</x:v>
      </x:c>
      <x:c r="D23" s="37" t="n">
        <x:v>3746</x:v>
      </x:c>
      <x:c r="E23" s="38" t="n">
        <x:v>12.84</x:v>
      </x:c>
      <x:c r="F23" s="39" t="n">
        <x:f>'Watchlist'!AA16</x:f>
        <x:v>14</x:v>
      </x:c>
      <x:c r="G23" s="40" t="str">
        <x:f>'Watchlist'!V16</x:f>
        <x:v>Oportunidad especulativa / esperar H1</x:v>
      </x:c>
      <x:c r="H23" s="40" t="n">
        <x:f>'Watchlist'!W16</x:f>
        <x:v>2</x:v>
      </x:c>
    </x:row>
    <x:row r="24" ht="39.599998474121094" hidden="0" customHeight="1">
      <x:c r="A24" s="33" t="str">
        <x:v>Rightmove</x:v>
      </x:c>
      <x:c r="B24" s="33" t="str">
        <x:v>RMV</x:v>
      </x:c>
      <x:c r="C24" s="33" t="str">
        <x:v>Calidad / marketplace</x:v>
      </x:c>
      <x:c r="D24" s="37" t="n">
        <x:v>474.8</x:v>
      </x:c>
      <x:c r="E24" s="38" t="n">
        <x:v>16.9</x:v>
      </x:c>
      <x:c r="F24" s="39" t="n">
        <x:f>'Watchlist'!AA17</x:f>
        <x:v>13</x:v>
      </x:c>
      <x:c r="G24" s="40" t="str">
        <x:f>'Watchlist'!V17</x:f>
        <x:v>Esperar / calidad, no perseguir precio</x:v>
      </x:c>
      <x:c r="H24" s="40" t="n">
        <x:f>'Watchlist'!W17</x:f>
        <x:v>2</x:v>
      </x:c>
    </x:row>
    <x:row r="25" ht="26.399999618530273" hidden="0" customHeight="1">
      <x:c r="A25" s="33" t="str">
        <x:v>Games Workshop</x:v>
      </x:c>
      <x:c r="B25" s="33" t="str">
        <x:v>GAW</x:v>
      </x:c>
      <x:c r="C25" s="33" t="str">
        <x:v>Calidad / IP y nicho</x:v>
      </x:c>
      <x:c r="D25" s="37" t="n">
        <x:v>19940</x:v>
      </x:c>
      <x:c r="E25" s="38" t="n">
        <x:v>33.52</x:v>
      </x:c>
      <x:c r="F25" s="39" t="n">
        <x:f>'Watchlist'!AA18</x:f>
        <x:v>13</x:v>
      </x:c>
      <x:c r="G25" s="40" t="str">
        <x:f>'Watchlist'!V18</x:f>
        <x:v>Vigilar / negocio excelente, precio exigente</x:v>
      </x:c>
      <x:c r="H25" s="40" t="n">
        <x:f>'Watchlist'!W18</x:f>
        <x:v>2</x:v>
      </x:c>
    </x:row>
    <x:row r="26" ht="52.79999923706055" hidden="0" customHeight="1">
      <x:c r="A26" s="33" t="str">
        <x:v>Computacenter</x:v>
      </x:c>
      <x:c r="B26" s="33" t="str">
        <x:v>CCC</x:v>
      </x:c>
      <x:c r="C26" s="33" t="str">
        <x:v>Crecimiento / servicios IT</x:v>
      </x:c>
      <x:c r="D26" s="37" t="n">
        <x:v>4818</x:v>
      </x:c>
      <x:c r="E26" s="38" t="n">
        <x:v>32.89</x:v>
      </x:c>
      <x:c r="F26" s="39" t="n">
        <x:f>'Watchlist'!AA19</x:f>
        <x:v>12</x:v>
      </x:c>
      <x:c r="G26" s="40" t="str">
        <x:f>'Watchlist'!V19</x:f>
        <x:v>Vigilar / crecimiento con riesgo de margen</x:v>
      </x:c>
      <x:c r="H26" s="40" t="n">
        <x:f>'Watchlist'!W19</x:f>
        <x:v>2</x:v>
      </x:c>
    </x:row>
    <x:row r="27" ht="26.399999618530273" hidden="0" customHeight="1">
      <x:c r="A27" s="33" t="str">
        <x:v>Howdens Joinery</x:v>
      </x:c>
      <x:c r="B27" s="33" t="str">
        <x:v>HWDN</x:v>
      </x:c>
      <x:c r="C27" s="33" t="str">
        <x:v>Calidad / cíclica</x:v>
      </x:c>
      <x:c r="D27" s="37" t="n">
        <x:v>821.5</x:v>
      </x:c>
      <x:c r="E27" s="38" t="n">
        <x:v>16.7</x:v>
      </x:c>
      <x:c r="F27" s="39" t="n">
        <x:f>'Watchlist'!AA20</x:f>
        <x:v>13</x:v>
      </x:c>
      <x:c r="G27" s="40" t="str">
        <x:f>'Watchlist'!V20</x:f>
        <x:v>Vigilar / solo con margen</x:v>
      </x:c>
      <x:c r="H27" s="40" t="n">
        <x:f>'Watchlist'!W20</x:f>
        <x:v>2</x:v>
      </x:c>
    </x:row>
    <x:row r="28" ht="39.599998474121094" hidden="0" customHeight="1">
      <x:c r="A28" s="33" t="str">
        <x:v>Domino's Pizza Group</x:v>
      </x:c>
      <x:c r="B28" s="33" t="str">
        <x:v>DOM</x:v>
      </x:c>
      <x:c r="C28" s="33" t="str">
        <x:v>Madura / recuperable</x:v>
      </x:c>
      <x:c r="D28" s="37" t="n">
        <x:v>201.6</x:v>
      </x:c>
      <x:c r="E28" s="38" t="n">
        <x:v>13.35</x:v>
      </x:c>
      <x:c r="F28" s="39" t="n">
        <x:f>'Watchlist'!AA21</x:f>
        <x:v>11</x:v>
      </x:c>
      <x:c r="G28" s="40" t="str">
        <x:f>'Watchlist'!V21</x:f>
        <x:v>Esperar resultados / turnaround condicional</x:v>
      </x:c>
      <x:c r="H28" s="40" t="n">
        <x:f>'Watchlist'!W21</x:f>
        <x:v>2</x:v>
      </x:c>
    </x:row>
    <x:row r="29" ht="26.399999618530273" hidden="0" customHeight="1">
      <x:c r="A29" s="33" t="str">
        <x:v>Bellway</x:v>
      </x:c>
      <x:c r="B29" s="33" t="str">
        <x:v>BWY</x:v>
      </x:c>
      <x:c r="C29" s="33" t="str">
        <x:v>Existente / cíclica</x:v>
      </x:c>
      <x:c r="D29" s="37" t="n">
        <x:v>1986</x:v>
      </x:c>
      <x:c r="E29" s="38" t="n">
        <x:v>14.73</x:v>
      </x:c>
      <x:c r="F29" s="39" t="n">
        <x:f>'Watchlist'!AA22</x:f>
        <x:v>12</x:v>
      </x:c>
      <x:c r="G29" s="40" t="str">
        <x:f>'Watchlist'!V22</x:f>
        <x:v>Vigilar / oportunidad cíclica</x:v>
      </x:c>
      <x:c r="H29" s="40" t="n">
        <x:f>'Watchlist'!W22</x:f>
        <x:v>1</x:v>
      </x:c>
    </x:row>
    <x:row r="30" ht="39.599998474121094" hidden="0" customHeight="1">
      <x:c r="A30" s="33" t="str">
        <x:v>Babcock International</x:v>
      </x:c>
      <x:c r="B30" s="33" t="str">
        <x:v>BAB</x:v>
      </x:c>
      <x:c r="C30" s="33" t="str">
        <x:v>Defensa / turnaround</x:v>
      </x:c>
      <x:c r="D30" s="37" t="n">
        <x:v>1121</x:v>
      </x:c>
      <x:c r="E30" s="38" t="n">
        <x:v>18.53</x:v>
      </x:c>
      <x:c r="F30" s="39" t="n">
        <x:f>'Watchlist'!AA23</x:f>
        <x:v>13</x:v>
      </x:c>
      <x:c r="G30" s="40" t="str">
        <x:f>'Watchlist'!V23</x:f>
        <x:v>Vigilar / recuperación con caja</x:v>
      </x:c>
      <x:c r="H30" s="40" t="n">
        <x:f>'Watchlist'!W23</x:f>
        <x:v>2</x:v>
      </x:c>
    </x:row>
    <x:row r="31" ht="39.599998474121094" hidden="0" customHeight="1">
      <x:c r="A31" s="33" t="str">
        <x:v>Oxford Instruments</x:v>
      </x:c>
      <x:c r="B31" s="33" t="str">
        <x:v>OXIG</x:v>
      </x:c>
      <x:c r="C31" s="33" t="str">
        <x:v>Nicho / tecnología</x:v>
      </x:c>
      <x:c r="D31" s="37" t="n">
        <x:v>2860</x:v>
      </x:c>
      <x:c r="E31" s="38" t="n">
        <x:v>33.81</x:v>
      </x:c>
      <x:c r="F31" s="39" t="n">
        <x:f>'Watchlist'!AA24</x:f>
        <x:v>12</x:v>
      </x:c>
      <x:c r="G31" s="40" t="str">
        <x:f>'Watchlist'!V24</x:f>
        <x:v>Vigilar / esperar conversión de pedidos</x:v>
      </x:c>
      <x:c r="H31" s="40" t="n">
        <x:f>'Watchlist'!W24</x:f>
        <x:v>2</x:v>
      </x:c>
    </x:row>
    <x:row r="32" ht="52.79999923706055" hidden="0" customHeight="1">
      <x:c r="A32" s="33" t="str">
        <x:v>4imprint Group</x:v>
      </x:c>
      <x:c r="B32" s="33" t="str">
        <x:v>FOUR</x:v>
      </x:c>
      <x:c r="C32" s="33" t="str">
        <x:v>Madura / calidad con descuento</x:v>
      </x:c>
      <x:c r="D32" s="37" t="n">
        <x:v>4390</x:v>
      </x:c>
      <x:c r="E32" s="38" t="n">
        <x:v>14.62</x:v>
      </x:c>
      <x:c r="F32" s="39" t="n">
        <x:f>'Watchlist'!AA25</x:f>
        <x:v>13</x:v>
      </x:c>
      <x:c r="G32" s="40" t="str">
        <x:f>'Watchlist'!V25</x:f>
        <x:v>Esperar H1 / no perseguir precio</x:v>
      </x:c>
      <x:c r="H32" s="40" t="n">
        <x:f>'Watchlist'!W25</x:f>
        <x:v>2</x:v>
      </x:c>
    </x:row>
    <x:row r="33" ht="39.599998474121094" hidden="0" customHeight="1">
      <x:c r="A33" s="33" t="str">
        <x:v>Jet2</x:v>
      </x:c>
      <x:c r="B33" s="33" t="str">
        <x:v>JET2</x:v>
      </x:c>
      <x:c r="C33" s="33" t="str">
        <x:v>Cíclica / crecimiento</x:v>
      </x:c>
      <x:c r="D33" s="37" t="n">
        <x:v>1540</x:v>
      </x:c>
      <x:c r="E33" s="38" t="n">
        <x:v>7.29</x:v>
      </x:c>
      <x:c r="F33" s="39" t="n">
        <x:f>'Watchlist'!AA26</x:f>
        <x:v>14</x:v>
      </x:c>
      <x:c r="G33" s="40" t="str">
        <x:f>'Watchlist'!V26</x:f>
        <x:v>Compra escalonada solo con margen</x:v>
      </x:c>
      <x:c r="H33" s="40" t="n">
        <x:f>'Watchlist'!W26</x:f>
        <x:v>1</x:v>
      </x:c>
    </x:row>
    <x:row r="34" ht="15" hidden="0" customHeight="1">
      <x:c r="A34" s="33"/>
      <x:c r="B34" s="33"/>
      <x:c r="C34" s="33"/>
      <x:c r="D34" s="33"/>
      <x:c r="E34" s="33"/>
      <x:c r="F34" s="33"/>
      <x:c r="G34" s="33"/>
      <x:c r="H34" s="33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</x:row>
    <x:row r="36" ht="15" hidden="0" customHeight="1">
      <x:c r="A36" s="36" t="str">
        <x:v>Cómo interpretar la puntuación</x:v>
      </x:c>
      <x:c r="B36" s="36" t="str">
        <x:v>Cómo interpretar la puntuación</x:v>
      </x:c>
      <x:c r="C36" s="36" t="str">
        <x:v>Cómo interpretar la puntuación</x:v>
      </x:c>
      <x:c r="D36" s="36" t="str">
        <x:v>Cómo interpretar la puntuación</x:v>
      </x:c>
      <x:c r="E36" s="36" t="str">
        <x:v>Cómo interpretar la puntuación</x:v>
      </x:c>
      <x:c r="F36" s="36" t="str">
        <x:v>Cómo interpretar la puntuación</x:v>
      </x:c>
      <x:c r="G36" s="36" t="str">
        <x:v>Cómo interpretar la puntuación</x:v>
      </x:c>
      <x:c r="H36" s="36" t="str">
        <x:v>Cómo interpretar la puntuación</x:v>
      </x:c>
    </x:row>
    <x:row r="37" ht="92.4000015258789" hidden="0" customHeight="1">
      <x:c r="A37" s="35" t="str">
        <x:v>12–16</x:v>
      </x:c>
      <x:c r="B37" s="33" t="str">
        <x:v>Candidato: merece profundizar y definir precio de entrada.</x:v>
      </x:c>
      <x:c r="C37" s="33"/>
      <x:c r="D37" s="35" t="str">
        <x:v>Hoja</x:v>
      </x:c>
      <x:c r="E37" s="35" t="str">
        <x:v>Uso</x:v>
      </x:c>
      <x:c r="F37" s="33" t="str"/>
      <x:c r="G37" s="33" t="str"/>
      <x:c r="H37" s="33" t="str"/>
    </x:row>
    <x:row r="38" ht="92.4000015258789" hidden="0" customHeight="1">
      <x:c r="A38" s="35" t="str">
        <x:v>9–11</x:v>
      </x:c>
      <x:c r="B38" s="33" t="str">
        <x:v>Vigilancia: hay algo interesante, pero falta confirmar una pieza.</x:v>
      </x:c>
      <x:c r="C38" s="33"/>
      <x:c r="D38" s="33" t="str">
        <x:v>Watchlist</x:v>
      </x:c>
      <x:c r="E38" s="33" t="str">
        <x:v>Panel principal y datos de mercado/resultados.</x:v>
      </x:c>
      <x:c r="F38" s="33" t="str"/>
      <x:c r="G38" s="33" t="str"/>
      <x:c r="H38" s="33" t="str"/>
    </x:row>
    <x:row r="39" ht="92.4000015258789" hidden="0" customHeight="1">
      <x:c r="A39" s="35" t="str">
        <x:v>0–8</x:v>
      </x:c>
      <x:c r="B39" s="33" t="str">
        <x:v>Revisar: no hay suficiente margen de seguridad o claridad.</x:v>
      </x:c>
      <x:c r="C39" s="33"/>
      <x:c r="D39" s="33" t="str">
        <x:v>Checklist_Lynch</x:v>
      </x:c>
      <x:c r="E39" s="33" t="str">
        <x:v>Puntuación y preguntas pendientes.</x:v>
      </x:c>
      <x:c r="F39" s="33" t="str"/>
      <x:c r="G39" s="33" t="str"/>
      <x:c r="H39" s="33" t="str"/>
    </x:row>
    <x:row r="40" ht="171.60000610351562" hidden="0" customHeight="1">
      <x:c r="A40" s="35" t="str">
        <x:v>Importante</x:v>
      </x:c>
      <x:c r="B40" s="33" t="str">
        <x:v>La puntuación es una ayuda de proceso creada para esta hoja; no es una escala oficial de Peter Lynch.</x:v>
      </x:c>
      <x:c r="C40" s="33"/>
      <x:c r="D40" s="33" t="str">
        <x:v>Historial / Fuentes_Audit</x:v>
      </x:c>
      <x:c r="E40" s="33" t="str">
        <x:v>Series y trazabilidad de cada afirmación.</x:v>
      </x:c>
      <x:c r="F40" s="33" t="str"/>
      <x:c r="G40" s="33" t="str"/>
      <x:c r="H40" s="33" t="str"/>
    </x:row>
    <x:row r="41" ht="171.60000610351562" hidden="0" customHeight="1">
      <x:c r="A41" s="35" t="str">
        <x:v>Siguiente paso</x:v>
      </x:c>
      <x:c r="B41" s="33" t="str">
        <x:v>Ve a Seguimiento: compara precio, PER, crecimiento, FCF, deuda y el dato que puede invalidar la tesis.</x:v>
      </x:c>
      <x:c r="C41" s="33"/>
      <x:c r="D41" s="33" t="str">
        <x:v>Seguimiento</x:v>
      </x:c>
      <x:c r="E41" s="33" t="str">
        <x:v>Próxima revisión, métricas a comparar y condición de invalidación.</x:v>
      </x:c>
      <x:c r="F41" s="33" t="str"/>
      <x:c r="G41" s="33" t="str"/>
      <x:c r="H41" s="33" t="str"/>
    </x:row>
    <x:row r="42" ht="118.80000305175781" hidden="0" customHeight="1">
      <x:c r="A42" s="33"/>
      <x:c r="B42" s="33"/>
      <x:c r="C42" s="33"/>
      <x:c r="D42" s="33" t="str">
        <x:v>Analisis_Prioritario</x:v>
      </x:c>
      <x:c r="E42" s="33" t="str">
        <x:v>Escenarios de valoración y precio de entrada para las 4 prioridades.</x:v>
      </x:c>
      <x:c r="F42" s="33" t="str"/>
      <x:c r="G42" s="33" t="str"/>
      <x:c r="H42" s="33" t="str"/>
    </x:row>
    <x:row r="43" ht="145.1999969482422" hidden="0" customHeight="1">
      <x:c r="A43" s="33"/>
      <x:c r="B43" s="33"/>
      <x:c r="C43" s="33"/>
      <x:c r="D43" s="33" t="str">
        <x:v>Ranking_10Bagger</x:v>
      </x:c>
      <x:c r="E43" s="33" t="str">
        <x:v>Orden relativo por runway, crecimiento, valoración, balance, tamaño y catalizadores.</x:v>
      </x:c>
      <x:c r="F43" s="33" t="str"/>
      <x:c r="G43" s="33" t="str"/>
      <x:c r="H43" s="33" t="str"/>
    </x:row>
  </x:sheetData>
  <x:mergeCells>
    <x:mergeCell ref="A1:H1"/>
    <x:mergeCell ref="A2:H2"/>
    <x:mergeCell ref="A10:H10"/>
    <x:mergeCell ref="A36:H36"/>
  </x:mergeCells>
  <x:pageMargins left="0.7" right="0.7" top="0.75" bottom="0.75" header="0.3" footer="0.3"/>
  <x:tableParts count="1">
    <x:tablePart xmlns:r="http://schemas.openxmlformats.org/officeDocument/2006/relationships" r:id="R3f246fb5927f4f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12" hidden="0" customWidth="1"/>
    <x:col min="4" max="4" width="27" hidden="0" customWidth="1"/>
    <x:col min="5" max="5" width="12" hidden="0" customWidth="1"/>
    <x:col min="6" max="6" width="14" hidden="0" customWidth="1"/>
    <x:col min="7" max="7" width="11" hidden="0" customWidth="1"/>
    <x:col min="8" max="8" width="15" hidden="0" customWidth="1"/>
    <x:col min="9" max="9" width="11" hidden="0" customWidth="1"/>
    <x:col min="10" max="10" width="10" hidden="0" customWidth="1"/>
    <x:col min="11" max="11" width="12" hidden="0" customWidth="1"/>
    <x:col min="12" max="12" width="10" hidden="0" customWidth="1"/>
    <x:col min="13" max="13" width="16" hidden="0" customWidth="1"/>
    <x:col min="14" max="14" width="11" hidden="0" customWidth="1"/>
    <x:col min="15" max="15" width="15" hidden="0" customWidth="1"/>
    <x:col min="16" max="16" width="13" hidden="0" customWidth="1"/>
    <x:col min="17" max="17" width="15" hidden="0" customWidth="1"/>
    <x:col min="18" max="18" width="12" hidden="0" customWidth="1"/>
    <x:col min="19" max="19" width="42" hidden="0" customWidth="1"/>
    <x:col min="20" max="20" width="42" hidden="0" customWidth="1"/>
    <x:col min="21" max="21" width="26" hidden="0" customWidth="1"/>
    <x:col min="22" max="22" width="34" hidden="0" customWidth="1"/>
    <x:col min="23" max="23" width="10" hidden="0" customWidth="1"/>
    <x:col min="24" max="24" width="12" hidden="0" customWidth="1"/>
    <x:col min="25" max="25" width="14" hidden="0" customWidth="1"/>
    <x:col min="26" max="26" width="14" hidden="0" customWidth="1"/>
    <x:col min="27" max="27" width="10" hidden="0" customWidth="1"/>
    <x:col min="28" max="28" width="15" hidden="0" customWidth="1"/>
  </x:cols>
  <x:sheetData>
    <x:row r="1" ht="19.200000762939453" hidden="0" customHeight="1">
      <x:c r="A1" s="34" t="str">
        <x:v>Watchlist principal</x:v>
      </x:c>
      <x:c r="B1" s="34" t="str">
        <x:v>Watchlist principal</x:v>
      </x:c>
      <x:c r="C1" s="34" t="str">
        <x:v>Watchlist principal</x:v>
      </x:c>
      <x:c r="D1" s="34" t="str">
        <x:v>Watchlist principal</x:v>
      </x:c>
      <x:c r="E1" s="34" t="str">
        <x:v>Watchlist principal</x:v>
      </x:c>
      <x:c r="F1" s="34" t="str">
        <x:v>Watchlist principal</x:v>
      </x:c>
      <x:c r="G1" s="34" t="str">
        <x:v>Watchlist principal</x:v>
      </x:c>
      <x:c r="H1" s="34" t="str">
        <x:v>Watchlist principal</x:v>
      </x:c>
      <x:c r="I1" s="34" t="str">
        <x:v>Watchlist principal</x:v>
      </x:c>
      <x:c r="J1" s="34" t="str">
        <x:v>Watchlist principal</x:v>
      </x:c>
      <x:c r="K1" s="34" t="str">
        <x:v>Watchlist principal</x:v>
      </x:c>
      <x:c r="L1" s="34" t="str">
        <x:v>Watchlist principal</x:v>
      </x:c>
      <x:c r="M1" s="34" t="str">
        <x:v>Watchlist principal</x:v>
      </x:c>
      <x:c r="N1" s="34" t="str">
        <x:v>Watchlist principal</x:v>
      </x:c>
      <x:c r="O1" s="34" t="str">
        <x:v>Watchlist principal</x:v>
      </x:c>
      <x:c r="P1" s="34" t="str">
        <x:v>Watchlist principal</x:v>
      </x:c>
      <x:c r="Q1" s="34" t="str">
        <x:v>Watchlist principal</x:v>
      </x:c>
      <x:c r="R1" s="34" t="str">
        <x:v>Watchlist principal</x:v>
      </x:c>
      <x:c r="S1" s="34" t="str">
        <x:v>Watchlist principal</x:v>
      </x:c>
      <x:c r="T1" s="34" t="str">
        <x:v>Watchlist principal</x:v>
      </x:c>
      <x:c r="U1" s="34" t="str">
        <x:v>Watchlist principal</x:v>
      </x:c>
      <x:c r="V1" s="34" t="str">
        <x:v>Watchlist principal</x:v>
      </x:c>
      <x:c r="W1" s="34" t="str">
        <x:v>Watchlist principal</x:v>
      </x:c>
      <x:c r="X1" s="34" t="str">
        <x:v>Watchlist principal</x:v>
      </x:c>
      <x:c r="Y1" s="34" t="str">
        <x:v>Watchlist principal</x:v>
      </x:c>
      <x:c r="Z1" s="34" t="str">
        <x:v>Watchlist principal</x:v>
      </x:c>
      <x:c r="AA1" s="34" t="str">
        <x:v>Watchlist principal</x:v>
      </x:c>
      <x:c r="AB1" s="34" t="str">
        <x:v>Watchlist principal</x:v>
      </x:c>
    </x:row>
    <x:row r="2" ht="15" hidden="0" customHeight="1">
      <x:c r="A2" s="8" t="str">
        <x:v>Los campos de mercado y resultados son instantáneas con fecha; las fórmulas están en negro/verde. Las unidades de cada compañía pueden variar: consulta Fuentes_Audit antes de comparar.</x:v>
      </x:c>
      <x:c r="B2" s="8" t="str">
        <x:v>Los campos de mercado y resultados son instantáneas con fecha; las fórmulas están en negro/verde. Las unidades de cada compañía pueden variar: consulta Fuentes_Audit antes de comparar.</x:v>
      </x:c>
      <x:c r="C2" s="8" t="str">
        <x:v>Los campos de mercado y resultados son instantáneas con fecha; las fórmulas están en negro/verde. Las unidades de cada compañía pueden variar: consulta Fuentes_Audit antes de comparar.</x:v>
      </x:c>
      <x:c r="D2" s="8" t="str">
        <x:v>Los campos de mercado y resultados son instantáneas con fecha; las fórmulas están en negro/verde. Las unidades de cada compañía pueden variar: consulta Fuentes_Audit antes de comparar.</x:v>
      </x:c>
      <x:c r="E2" s="8" t="str">
        <x:v>Los campos de mercado y resultados son instantáneas con fecha; las fórmulas están en negro/verde. Las unidades de cada compañía pueden variar: consulta Fuentes_Audit antes de comparar.</x:v>
      </x:c>
      <x:c r="F2" s="8" t="str">
        <x:v>Los campos de mercado y resultados son instantáneas con fecha; las fórmulas están en negro/verde. Las unidades de cada compañía pueden variar: consulta Fuentes_Audit antes de comparar.</x:v>
      </x:c>
      <x:c r="G2" s="8" t="str">
        <x:v>Los campos de mercado y resultados son instantáneas con fecha; las fórmulas están en negro/verde. Las unidades de cada compañía pueden variar: consulta Fuentes_Audit antes de comparar.</x:v>
      </x:c>
      <x:c r="H2" s="8" t="str">
        <x:v>Los campos de mercado y resultados son instantáneas con fecha; las fórmulas están en negro/verde. Las unidades de cada compañía pueden variar: consulta Fuentes_Audit antes de comparar.</x:v>
      </x:c>
      <x:c r="I2" s="8" t="str">
        <x:v>Los campos de mercado y resultados son instantáneas con fecha; las fórmulas están en negro/verde. Las unidades de cada compañía pueden variar: consulta Fuentes_Audit antes de comparar.</x:v>
      </x:c>
      <x:c r="J2" s="8" t="str">
        <x:v>Los campos de mercado y resultados son instantáneas con fecha; las fórmulas están en negro/verde. Las unidades de cada compañía pueden variar: consulta Fuentes_Audit antes de comparar.</x:v>
      </x:c>
      <x:c r="K2" s="8" t="str">
        <x:v>Los campos de mercado y resultados son instantáneas con fecha; las fórmulas están en negro/verde. Las unidades de cada compañía pueden variar: consulta Fuentes_Audit antes de comparar.</x:v>
      </x:c>
      <x:c r="L2" s="8" t="str">
        <x:v>Los campos de mercado y resultados son instantáneas con fecha; las fórmulas están en negro/verde. Las unidades de cada compañía pueden variar: consulta Fuentes_Audit antes de comparar.</x:v>
      </x:c>
      <x:c r="M2" s="8" t="str">
        <x:v>Los campos de mercado y resultados son instantáneas con fecha; las fórmulas están en negro/verde. Las unidades de cada compañía pueden variar: consulta Fuentes_Audit antes de comparar.</x:v>
      </x:c>
      <x:c r="N2" s="8" t="str">
        <x:v>Los campos de mercado y resultados son instantáneas con fecha; las fórmulas están en negro/verde. Las unidades de cada compañía pueden variar: consulta Fuentes_Audit antes de comparar.</x:v>
      </x:c>
      <x:c r="O2" s="8" t="str">
        <x:v>Los campos de mercado y resultados son instantáneas con fecha; las fórmulas están en negro/verde. Las unidades de cada compañía pueden variar: consulta Fuentes_Audit antes de comparar.</x:v>
      </x:c>
      <x:c r="P2" s="8" t="str">
        <x:v>Los campos de mercado y resultados son instantáneas con fecha; las fórmulas están en negro/verde. Las unidades de cada compañía pueden variar: consulta Fuentes_Audit antes de comparar.</x:v>
      </x:c>
      <x:c r="Q2" s="8" t="str">
        <x:v>Los campos de mercado y resultados son instantáneas con fecha; las fórmulas están en negro/verde. Las unidades de cada compañía pueden variar: consulta Fuentes_Audit antes de comparar.</x:v>
      </x:c>
      <x:c r="R2" s="8" t="str">
        <x:v>Los campos de mercado y resultados son instantáneas con fecha; las fórmulas están en negro/verde. Las unidades de cada compañía pueden variar: consulta Fuentes_Audit antes de comparar.</x:v>
      </x:c>
      <x:c r="S2" s="8" t="str">
        <x:v>Los campos de mercado y resultados son instantáneas con fecha; las fórmulas están en negro/verde. Las unidades de cada compañía pueden variar: consulta Fuentes_Audit antes de comparar.</x:v>
      </x:c>
      <x:c r="T2" s="8" t="str">
        <x:v>Los campos de mercado y resultados son instantáneas con fecha; las fórmulas están en negro/verde. Las unidades de cada compañía pueden variar: consulta Fuentes_Audit antes de comparar.</x:v>
      </x:c>
      <x:c r="U2" s="8" t="str">
        <x:v>Los campos de mercado y resultados son instantáneas con fecha; las fórmulas están en negro/verde. Las unidades de cada compañía pueden variar: consulta Fuentes_Audit antes de comparar.</x:v>
      </x:c>
      <x:c r="V2" s="8" t="str">
        <x:v>Los campos de mercado y resultados son instantáneas con fecha; las fórmulas están en negro/verde. Las unidades de cada compañía pueden variar: consulta Fuentes_Audit antes de comparar.</x:v>
      </x:c>
      <x:c r="W2" s="8" t="str">
        <x:v>Los campos de mercado y resultados son instantáneas con fecha; las fórmulas están en negro/verde. Las unidades de cada compañía pueden variar: consulta Fuentes_Audit antes de comparar.</x:v>
      </x:c>
      <x:c r="X2" s="8" t="str">
        <x:v>Los campos de mercado y resultados son instantáneas con fecha; las fórmulas están en negro/verde. Las unidades de cada compañía pueden variar: consulta Fuentes_Audit antes de comparar.</x:v>
      </x:c>
      <x:c r="Y2" s="8" t="str">
        <x:v>Los campos de mercado y resultados son instantáneas con fecha; las fórmulas están en negro/verde. Las unidades de cada compañía pueden variar: consulta Fuentes_Audit antes de comparar.</x:v>
      </x:c>
      <x:c r="Z2" s="8" t="str">
        <x:v>Los campos de mercado y resultados son instantáneas con fecha; las fórmulas están en negro/verde. Las unidades de cada compañía pueden variar: consulta Fuentes_Audit antes de comparar.</x:v>
      </x:c>
      <x:c r="AA2" s="8" t="str">
        <x:v>Los campos de mercado y resultados son instantáneas con fecha; las fórmulas están en negro/verde. Las unidades de cada compañía pueden variar: consulta Fuentes_Audit antes de comparar.</x:v>
      </x:c>
      <x:c r="AB2" s="8" t="str">
        <x:v>Los campos de mercado y resultados son instantáneas con fecha; las fórmulas están en negro/verde. Las unidades de cada compañía pueden variar: consulta Fuentes_Audit antes de comparar.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  <x:c r="AA3" s="33"/>
      <x:c r="AB3" s="33"/>
    </x:row>
    <x:row r="4" ht="60" hidden="0" customHeight="1">
      <x:c r="A4" s="20" t="str">
        <x:v>Empresa</x:v>
      </x:c>
      <x:c r="B4" s="20" t="str">
        <x:v>Ticker</x:v>
      </x:c>
      <x:c r="C4" s="20" t="str">
        <x:v>Bolsa</x:v>
      </x:c>
      <x:c r="D4" s="20" t="str">
        <x:v>Tipo / categoría Lynch</x:v>
      </x:c>
      <x:c r="E4" s="20" t="str">
        <x:v>Fecha salida</x:v>
      </x:c>
      <x:c r="F4" s="20" t="str">
        <x:v>Moneda / cuentas</x:v>
      </x:c>
      <x:c r="G4" s="20" t="str">
        <x:v>Precio</x:v>
      </x:c>
      <x:c r="H4" s="20" t="str">
        <x:v>Capitalización (m)</x:v>
      </x:c>
      <x:c r="I4" s="20" t="str">
        <x:v>PER informado</x:v>
      </x:c>
      <x:c r="J4" s="20" t="str">
        <x:v>EPS</x:v>
      </x:c>
      <x:c r="K4" s="20" t="str">
        <x:v>Dividendo anual</x:v>
      </x:c>
      <x:c r="L4" s="20" t="str">
        <x:v>Yield</x:v>
      </x:c>
      <x:c r="M4" s="20" t="str">
        <x:v>Ventas / net contribution último (m)</x:v>
      </x:c>
      <x:c r="N4" s="20" t="str">
        <x:v>Crec. ventas</x:v>
      </x:c>
      <x:c r="O4" s="20" t="str">
        <x:v>Crec. EBITDA / beneficio</x:v>
      </x:c>
      <x:c r="P4" s="20" t="str">
        <x:v>FCF último (m)</x:v>
      </x:c>
      <x:c r="Q4" s="20" t="str">
        <x:v>Deuda neta (+) / caja neta (-) (m)</x:v>
      </x:c>
      <x:c r="R4" s="20" t="str">
        <x:v>PEG heurístico*</x:v>
      </x:c>
      <x:c r="S4" s="20" t="str">
        <x:v>Catalizador</x:v>
      </x:c>
      <x:c r="T4" s="20" t="str">
        <x:v>Riesgo principal</x:v>
      </x:c>
      <x:c r="U4" s="20" t="str">
        <x:v>Próximo evento</x:v>
      </x:c>
      <x:c r="V4" s="20" t="str">
        <x:v>Veredicto Lynch</x:v>
      </x:c>
      <x:c r="W4" s="20" t="str">
        <x:v>Prioridad</x:v>
      </x:c>
      <x:c r="X4" s="20" t="str">
        <x:v>As of</x:v>
      </x:c>
      <x:c r="Y4" s="20" t="str">
        <x:v>Fuente mercado</x:v>
      </x:c>
      <x:c r="Z4" s="20" t="str">
        <x:v>Fuente resultados</x:v>
      </x:c>
      <x:c r="AA4" s="20" t="str">
        <x:v>Score Lynch</x:v>
      </x:c>
      <x:c r="AB4" s="20" t="str">
        <x:v>Estado</x:v>
      </x:c>
    </x:row>
    <x:row r="5" ht="118.80000305175781" hidden="0" customHeight="1">
      <x:c r="A5" s="58" t="str">
        <x:v>Atalaya Mining</x:v>
      </x:c>
      <x:c r="B5" s="58" t="str">
        <x:v>ATYM</x:v>
      </x:c>
      <x:c r="C5" s="58" t="str">
        <x:v>LSE</x:v>
      </x:c>
      <x:c r="D5" s="58" t="str">
        <x:v>Existente / cíclica</x:v>
      </x:c>
      <x:c r="E5" s="59"/>
      <x:c r="F5" s="58" t="str">
        <x:v>GBX / EUR</x:v>
      </x:c>
      <x:c r="G5" s="60" t="n">
        <x:v>917</x:v>
      </x:c>
      <x:c r="H5" s="61" t="n">
        <x:v>1410</x:v>
      </x:c>
      <x:c r="I5" s="62" t="n">
        <x:v>17.29</x:v>
      </x:c>
      <x:c r="J5" s="60" t="n">
        <x:v>53.03</x:v>
      </x:c>
      <x:c r="K5" s="60" t="n">
        <x:v>6.1</x:v>
      </x:c>
      <x:c r="L5" s="63" t="n">
        <x:v>0.00665</x:v>
      </x:c>
      <x:c r="M5" s="61" t="n">
        <x:v>482.9</x:v>
      </x:c>
      <x:c r="N5" s="63" t="n">
        <x:v>0.478</x:v>
      </x:c>
      <x:c r="O5" s="63" t="n">
        <x:v>1.708</x:v>
      </x:c>
      <x:c r="P5" s="61" t="n">
        <x:v>107.4</x:v>
      </x:c>
      <x:c r="Q5" s="61" t="n">
        <x:v>-122</x:v>
      </x:c>
      <x:c r="R5" s="64" t="n">
        <x:f>IF(AND(I5&gt;0,O5&gt;0),I5/(O5*100),"")</x:f>
        <x:v>0.10122950819672132</x:v>
      </x:c>
      <x:c r="S5" s="58" t="str">
        <x:v>Cobre, caja reforzada y posible Touro; comprobar conversión de caja.</x:v>
      </x:c>
      <x:c r="T5" s="58" t="str">
        <x:v>Precio del cobre, inventario, ley/recuperación, capex y ejecución.</x:v>
      </x:c>
      <x:c r="U5" s="58" t="str">
        <x:v>Próxima actualización: pendiente</x:v>
      </x:c>
      <x:c r="V5" s="58" t="str">
        <x:v>Esperar / vigilar</x:v>
      </x:c>
      <x:c r="W5" s="65" t="n">
        <x:v>2</x:v>
      </x:c>
      <x:c r="X5" s="59" t="n">
        <x:v>46238</x:v>
      </x:c>
      <x:c r="Y5" s="58" t="str">
        <x:v>ATYM-MKT</x:v>
      </x:c>
      <x:c r="Z5" s="58" t="str">
        <x:v>ATYM-FY25</x:v>
      </x:c>
      <x:c r="AA5" s="39" t="n">
        <x:f>IFERROR('Checklist_Lynch'!L5,"")</x:f>
        <x:v>11</x:v>
      </x:c>
      <x:c r="AB5" s="28" t="str">
        <x:f>IF(AA5&gt;=12,"Alta prioridad",IF(AA5&gt;=9,"Vigilancia","Revisar"))</x:f>
        <x:v>Vigilancia</x:v>
      </x:c>
    </x:row>
    <x:row r="6" ht="118.80000305175781" hidden="0" customHeight="1">
      <x:c r="A6" s="58" t="str">
        <x:v>Rio Tinto</x:v>
      </x:c>
      <x:c r="B6" s="58" t="str">
        <x:v>RIO</x:v>
      </x:c>
      <x:c r="C6" s="58" t="str">
        <x:v>LSE / ASX</x:v>
      </x:c>
      <x:c r="D6" s="58" t="str">
        <x:v>Existente / cíclica</x:v>
      </x:c>
      <x:c r="E6" s="59"/>
      <x:c r="F6" s="58" t="str">
        <x:v>GBX / USD</x:v>
      </x:c>
      <x:c r="G6" s="60" t="n">
        <x:v>7313</x:v>
      </x:c>
      <x:c r="H6" s="61" t="n">
        <x:v>118930</x:v>
      </x:c>
      <x:c r="I6" s="62" t="n">
        <x:v>16.05</x:v>
      </x:c>
      <x:c r="J6" s="60" t="n">
        <x:v>455.72</x:v>
      </x:c>
      <x:c r="K6" s="60" t="n">
        <x:v>284.57</x:v>
      </x:c>
      <x:c r="L6" s="63" t="n">
        <x:v>0.03891</x:v>
      </x:c>
      <x:c r="M6" s="61" t="n">
        <x:v>57638</x:v>
      </x:c>
      <x:c r="N6" s="63"/>
      <x:c r="O6" s="63"/>
      <x:c r="P6" s="61" t="n">
        <x:v>4025</x:v>
      </x:c>
      <x:c r="Q6" s="61" t="n">
        <x:v>14362</x:v>
      </x:c>
      <x:c r="R6" s="64" t="str">
        <x:f>IF(AND(I6&gt;0,O6&gt;0),I6/(O6*100),"")</x:f>
      </x:c>
      <x:c r="S6" s="58" t="str">
        <x:v>Cobre y producción; H1 2026 con EBITDA/FCF sólidos y disciplina de costes.</x:v>
      </x:c>
      <x:c r="T6" s="58" t="str">
        <x:v>Ciclo de materias primas, China, grandes proyectos y deuda/capex.</x:v>
      </x:c>
      <x:c r="U6" s="58" t="str">
        <x:v>Resultados FY2026: pendiente</x:v>
      </x:c>
      <x:c r="V6" s="58" t="str">
        <x:v>Compra escalonada / vigilar precio</x:v>
      </x:c>
      <x:c r="W6" s="65" t="n">
        <x:v>1</x:v>
      </x:c>
      <x:c r="X6" s="59" t="n">
        <x:v>46238</x:v>
      </x:c>
      <x:c r="Y6" s="58" t="str">
        <x:v>RIO-MKT</x:v>
      </x:c>
      <x:c r="Z6" s="58" t="str">
        <x:v>RIO-H1-26</x:v>
      </x:c>
      <x:c r="AA6" s="39" t="n">
        <x:f>IFERROR('Checklist_Lynch'!L6,"")</x:f>
        <x:v>14</x:v>
      </x:c>
      <x:c r="AB6" s="28" t="str">
        <x:f>IF(AA6&gt;=12,"Alta prioridad",IF(AA6&gt;=9,"Vigilancia","Revisar"))</x:f>
        <x:v>Alta prioridad</x:v>
      </x:c>
    </x:row>
    <x:row r="7" ht="171.60000610351562" hidden="0" customHeight="1">
      <x:c r="A7" s="58" t="str">
        <x:v>eToro</x:v>
      </x:c>
      <x:c r="B7" s="58" t="str">
        <x:v>ETOR</x:v>
      </x:c>
      <x:c r="C7" s="58" t="str">
        <x:v>NASDAQ</x:v>
      </x:c>
      <x:c r="D7" s="58" t="str">
        <x:v>Nueva / alto crecimiento</x:v>
      </x:c>
      <x:c r="E7" s="59" t="n">
        <x:v>45791</x:v>
      </x:c>
      <x:c r="F7" s="58" t="str">
        <x:v>USD</x:v>
      </x:c>
      <x:c r="G7" s="60" t="n">
        <x:v>37.06</x:v>
      </x:c>
      <x:c r="H7" s="61" t="n">
        <x:v>3010</x:v>
      </x:c>
      <x:c r="I7" s="62" t="n">
        <x:v>15.47</x:v>
      </x:c>
      <x:c r="J7" s="60" t="n">
        <x:v>2.64</x:v>
      </x:c>
      <x:c r="K7" s="60" t="n">
        <x:v>0</x:v>
      </x:c>
      <x:c r="L7" s="63" t="n">
        <x:v>0</x:v>
      </x:c>
      <x:c r="M7" s="61" t="n">
        <x:v>868</x:v>
      </x:c>
      <x:c r="N7" s="63" t="n">
        <x:v>0.1</x:v>
      </x:c>
      <x:c r="O7" s="63" t="n">
        <x:v>0.04</x:v>
      </x:c>
      <x:c r="P7" s="61"/>
      <x:c r="Q7" s="61" t="n">
        <x:v>-1300</x:v>
      </x:c>
      <x:c r="R7" s="64" t="n">
        <x:f>IF(AND(I7&gt;0,O7&gt;0),I7/(O7*100),"")</x:f>
        <x:v>3.8675</x:v>
      </x:c>
      <x:c r="S7" s="58" t="str">
        <x:v>Q1 2026: net contribution +19%, EBITDA ajustado +35%; resultados Q2 el 11-ago y recompra autorizada.</x:v>
      </x:c>
      <x:c r="T7" s="58" t="str">
        <x:v>Ciclicidad de trading/cripto, historial corto, dual class y posible volatilidad de beneficios.</x:v>
      </x:c>
      <x:c r="U7" s="58" t="str">
        <x:v>Resultados Q2: 2026-08-11</x:v>
      </x:c>
      <x:c r="V7" s="58" t="str">
        <x:v>Vigilar / posible entrada pequeña</x:v>
      </x:c>
      <x:c r="W7" s="65" t="n">
        <x:v>2</x:v>
      </x:c>
      <x:c r="X7" s="59" t="n">
        <x:v>46238</x:v>
      </x:c>
      <x:c r="Y7" s="58" t="str">
        <x:v>ETOR-MKT</x:v>
      </x:c>
      <x:c r="Z7" s="58" t="str">
        <x:v>ETOR-Q1-26</x:v>
      </x:c>
      <x:c r="AA7" s="39" t="n">
        <x:f>IFERROR('Checklist_Lynch'!L7,"")</x:f>
        <x:v>12</x:v>
      </x:c>
      <x:c r="AB7" s="28" t="str">
        <x:f>IF(AA7&gt;=12,"Alta prioridad",IF(AA7&gt;=9,"Vigilancia","Revisar"))</x:f>
        <x:v>Alta prioridad</x:v>
      </x:c>
    </x:row>
    <x:row r="8" ht="145.1999969482422" hidden="0" customHeight="1">
      <x:c r="A8" s="58" t="str">
        <x:v>HBX Group</x:v>
      </x:c>
      <x:c r="B8" s="58" t="str">
        <x:v>HBX</x:v>
      </x:c>
      <x:c r="C8" s="58" t="str">
        <x:v>BME</x:v>
      </x:c>
      <x:c r="D8" s="58" t="str">
        <x:v>Nueva / crecimiento-cíclica</x:v>
      </x:c>
      <x:c r="E8" s="59" t="n">
        <x:v>45722</x:v>
      </x:c>
      <x:c r="F8" s="58" t="str">
        <x:v>EUR</x:v>
      </x:c>
      <x:c r="G8" s="60" t="n">
        <x:v>7.71</x:v>
      </x:c>
      <x:c r="H8" s="61" t="n">
        <x:v>1860</x:v>
      </x:c>
      <x:c r="I8" s="62" t="n">
        <x:v>10.21</x:v>
      </x:c>
      <x:c r="J8" s="60" t="n">
        <x:v>0.75</x:v>
      </x:c>
      <x:c r="K8" s="60" t="n">
        <x:v>0.08</x:v>
      </x:c>
      <x:c r="L8" s="63" t="n">
        <x:v>0.0097</x:v>
      </x:c>
      <x:c r="M8" s="61" t="n">
        <x:v>309</x:v>
      </x:c>
      <x:c r="N8" s="63" t="n">
        <x:v>0.01</x:v>
      </x:c>
      <x:c r="O8" s="63" t="n">
        <x:v>0.09</x:v>
      </x:c>
      <x:c r="P8" s="61"/>
      <x:c r="Q8" s="61" t="n">
        <x:v>741</x:v>
      </x:c>
      <x:c r="R8" s="64" t="n">
        <x:f>IF(AND(I8&gt;0,O8&gt;0),I8/(O8*100),"")</x:f>
        <x:v>1.1344444444444446</x:v>
      </x:c>
      <x:c r="S8" s="58" t="str">
        <x:v>TTV H1 2026 +17% en moneda constante, recompra de 100m y cotización ~33% bajo el precio de IPO.</x:v>
      </x:c>
      <x:c r="T8" s="58" t="str">
        <x:v>Guía recortada, deuda, geopolítica de viajes y transición CEO/CFO.</x:v>
      </x:c>
      <x:c r="U8" s="58" t="str">
        <x:v>Resultados FY2026: 2026-11-25</x:v>
      </x:c>
      <x:c r="V8" s="58" t="str">
        <x:v>Vigilar / oportunidad con margen</x:v>
      </x:c>
      <x:c r="W8" s="65" t="n">
        <x:v>1</x:v>
      </x:c>
      <x:c r="X8" s="59" t="n">
        <x:v>46238</x:v>
      </x:c>
      <x:c r="Y8" s="58" t="str">
        <x:v>HBX-MKT</x:v>
      </x:c>
      <x:c r="Z8" s="58" t="str">
        <x:v>HBX-H1-26</x:v>
      </x:c>
      <x:c r="AA8" s="39" t="n">
        <x:f>IFERROR('Checklist_Lynch'!L8,"")</x:f>
        <x:v>12</x:v>
      </x:c>
      <x:c r="AB8" s="28" t="str">
        <x:f>IF(AA8&gt;=12,"Alta prioridad",IF(AA8&gt;=9,"Vigilancia","Revisar"))</x:f>
        <x:v>Alta prioridad</x:v>
      </x:c>
    </x:row>
    <x:row r="9" ht="158.39999389648438" hidden="0" customHeight="1">
      <x:c r="A9" s="58" t="str">
        <x:v>Figma</x:v>
      </x:c>
      <x:c r="B9" s="58" t="str">
        <x:v>FIG</x:v>
      </x:c>
      <x:c r="C9" s="58" t="str">
        <x:v>NYSE</x:v>
      </x:c>
      <x:c r="D9" s="58" t="str">
        <x:v>Nueva / alto crecimiento</x:v>
      </x:c>
      <x:c r="E9" s="59" t="n">
        <x:v>45869</x:v>
      </x:c>
      <x:c r="F9" s="58" t="str">
        <x:v>USD</x:v>
      </x:c>
      <x:c r="G9" s="60" t="n">
        <x:v>27.26</x:v>
      </x:c>
      <x:c r="H9" s="61" t="n">
        <x:v>14270</x:v>
      </x:c>
      <x:c r="I9" s="62" t="n">
        <x:v>-6.78</x:v>
      </x:c>
      <x:c r="J9" s="60" t="n">
        <x:v>-4.02</x:v>
      </x:c>
      <x:c r="K9" s="60" t="n">
        <x:v>0</x:v>
      </x:c>
      <x:c r="L9" s="63" t="n">
        <x:v>0</x:v>
      </x:c>
      <x:c r="M9" s="61" t="n">
        <x:v>1056</x:v>
      </x:c>
      <x:c r="N9" s="63" t="n">
        <x:v>0.41</x:v>
      </x:c>
      <x:c r="O9" s="63"/>
      <x:c r="P9" s="61" t="n">
        <x:v>242.7</x:v>
      </x:c>
      <x:c r="Q9" s="61" t="n">
        <x:v>-1700</x:v>
      </x:c>
      <x:c r="R9" s="64" t="str">
        <x:f>IF(AND(I9&gt;0,O9&gt;0),I9/(O9*100),"")</x:f>
      </x:c>
      <x:c r="S9" s="58" t="str">
        <x:v>Q2 2026 el 5-ago; guía FY26 de ingresos +35% y NDR 139% en Q1.</x:v>
      </x:c>
      <x:c r="T9" s="58" t="str">
        <x:v>Pérdida GAAP, stock-based compensation/dilución y valoración aproximada de 10x ventas FY26.</x:v>
      </x:c>
      <x:c r="U9" s="58" t="str">
        <x:v>Resultados Q2: 2026-08-05</x:v>
      </x:c>
      <x:c r="V9" s="58" t="str">
        <x:v>Esperar / no comprar antes de resultados</x:v>
      </x:c>
      <x:c r="W9" s="65" t="n">
        <x:v>3</x:v>
      </x:c>
      <x:c r="X9" s="59" t="n">
        <x:v>46238</x:v>
      </x:c>
      <x:c r="Y9" s="58" t="str">
        <x:v>FIG-MKT</x:v>
      </x:c>
      <x:c r="Z9" s="58" t="str">
        <x:v>FIG-Q1-26</x:v>
      </x:c>
      <x:c r="AA9" s="39" t="n">
        <x:f>IFERROR('Checklist_Lynch'!L9,"")</x:f>
        <x:v>10</x:v>
      </x:c>
      <x:c r="AB9" s="28" t="str">
        <x:f>IF(AA9&gt;=12,"Alta prioridad",IF(AA9&gt;=9,"Vigilancia","Revisar"))</x:f>
        <x:v>Vigilancia</x:v>
      </x:c>
    </x:row>
    <x:row r="10" ht="132" hidden="0" customHeight="1">
      <x:c r="A10" s="58" t="str">
        <x:v>JD Sports Fashion</x:v>
      </x:c>
      <x:c r="B10" s="58" t="str">
        <x:v>JD.</x:v>
      </x:c>
      <x:c r="C10" s="58" t="str">
        <x:v>LSE</x:v>
      </x:c>
      <x:c r="D10" s="58" t="str">
        <x:v>Madura / crecimiento</x:v>
      </x:c>
      <x:c r="E10" s="59"/>
      <x:c r="F10" s="58" t="str">
        <x:v>GBX / GBP</x:v>
      </x:c>
      <x:c r="G10" s="60" t="n">
        <x:v>86.18</x:v>
      </x:c>
      <x:c r="H10" s="61" t="n">
        <x:v>4120</x:v>
      </x:c>
      <x:c r="I10" s="62" t="n">
        <x:v>9.986</x:v>
      </x:c>
      <x:c r="J10" s="60" t="n">
        <x:v>8.63</x:v>
      </x:c>
      <x:c r="K10" s="60" t="n">
        <x:v>1</x:v>
      </x:c>
      <x:c r="L10" s="63" t="n">
        <x:v>0.0116</x:v>
      </x:c>
      <x:c r="M10" s="61" t="n">
        <x:v>12662</x:v>
      </x:c>
      <x:c r="N10" s="63" t="n">
        <x:v>0.105</x:v>
      </x:c>
      <x:c r="O10" s="63" t="n">
        <x:v>-0.054</x:v>
      </x:c>
      <x:c r="P10" s="61" t="n">
        <x:v>462</x:v>
      </x:c>
      <x:c r="Q10" s="61"/>
      <x:c r="R10" s="64" t="str">
        <x:f>IF(AND(I10&gt;0,O10&gt;0),I10/(O10*100),"")</x:f>
      </x:c>
      <x:c r="S10" s="58" t="str">
        <x:v>Ventas FY26 +10.5%, FCF +36%; recompra de 200m y actualización Q2 el 20-ago.</x:v>
      </x:c>
      <x:c r="T10" s="58" t="str">
        <x:v>Márgenes y EPS cayendo, consumidor/EE. UU., competencia, inventario y divisas.</x:v>
      </x:c>
      <x:c r="U10" s="58" t="str">
        <x:v>Trading update Q2: 2026-08-20</x:v>
      </x:c>
      <x:c r="V10" s="58" t="str">
        <x:v>Oportunidad condicional / vigilar márgenes</x:v>
      </x:c>
      <x:c r="W10" s="65" t="n">
        <x:v>1</x:v>
      </x:c>
      <x:c r="X10" s="59" t="n">
        <x:v>46238</x:v>
      </x:c>
      <x:c r="Y10" s="58" t="str">
        <x:v>JD-MKT</x:v>
      </x:c>
      <x:c r="Z10" s="58" t="str">
        <x:v>JD-FY26</x:v>
      </x:c>
      <x:c r="AA10" s="39" t="n">
        <x:f>IFERROR('Checklist_Lynch'!L10,"")</x:f>
        <x:v>11</x:v>
      </x:c>
      <x:c r="AB10" s="28" t="str">
        <x:f>IF(AA10&gt;=12,"Alta prioridad",IF(AA10&gt;=9,"Vigilancia","Revisar"))</x:f>
        <x:v>Vigilancia</x:v>
      </x:c>
    </x:row>
    <x:row r="11" ht="158.39999389648438" hidden="0" customHeight="1">
      <x:c r="A11" s="58" t="str">
        <x:v>PayPal</x:v>
      </x:c>
      <x:c r="B11" s="58" t="str">
        <x:v>PYPL</x:v>
      </x:c>
      <x:c r="C11" s="58" t="str">
        <x:v>NASDAQ</x:v>
      </x:c>
      <x:c r="D11" s="58" t="str">
        <x:v>Madura / recuperable</x:v>
      </x:c>
      <x:c r="E11" s="59"/>
      <x:c r="F11" s="58" t="str">
        <x:v>USD</x:v>
      </x:c>
      <x:c r="G11" s="60" t="n">
        <x:v>58.335</x:v>
      </x:c>
      <x:c r="H11" s="61" t="n">
        <x:v>51451</x:v>
      </x:c>
      <x:c r="I11" s="62" t="n">
        <x:v>11.027</x:v>
      </x:c>
      <x:c r="J11" s="60" t="n">
        <x:v>5.29</x:v>
      </x:c>
      <x:c r="K11" s="60" t="n">
        <x:v>0.56</x:v>
      </x:c>
      <x:c r="L11" s="63" t="n">
        <x:v>0.0096</x:v>
      </x:c>
      <x:c r="M11" s="61" t="n">
        <x:v>8400</x:v>
      </x:c>
      <x:c r="N11" s="63" t="n">
        <x:v>0.07</x:v>
      </x:c>
      <x:c r="O11" s="63"/>
      <x:c r="P11" s="61" t="n">
        <x:v>1700</x:v>
      </x:c>
      <x:c r="Q11" s="61"/>
      <x:c r="R11" s="64" t="str">
        <x:f>IF(AND(I11&gt;0,O11&gt;0),I11/(O11*100),"")</x:f>
      </x:c>
      <x:c r="S11" s="58" t="str">
        <x:v>FCF, recompras y dividendo; TPV Q1 2026 +11%, pero toca demostrar recuperación del checkout.</x:v>
      </x:c>
      <x:c r="T11" s="58" t="str">
        <x:v>Competencia de Apple Pay/Shopify/Affirm/Klarna, cuentas activas planas y branded checkout +2%.</x:v>
      </x:c>
      <x:c r="U11" s="58" t="str">
        <x:v>Resultados 3T26: fecha pendiente</x:v>
      </x:c>
      <x:c r="V11" s="58" t="str">
        <x:v>Oportunidad especulativa / vigilar ejecución</x:v>
      </x:c>
      <x:c r="W11" s="65" t="n">
        <x:v>2</x:v>
      </x:c>
      <x:c r="X11" s="59" t="n">
        <x:v>46238</x:v>
      </x:c>
      <x:c r="Y11" s="58" t="str">
        <x:v>PYPL-MKT</x:v>
      </x:c>
      <x:c r="Z11" s="58" t="str">
        <x:v>PYPL-Q1-26</x:v>
      </x:c>
      <x:c r="AA11" s="39" t="n">
        <x:f>IFERROR('Checklist_Lynch'!L11,"")</x:f>
        <x:v>11</x:v>
      </x:c>
      <x:c r="AB11" s="28" t="str">
        <x:f>IF(AA11&gt;=12,"Alta prioridad",IF(AA11&gt;=9,"Vigilancia","Revisar"))</x:f>
        <x:v>Vigilancia</x:v>
      </x:c>
    </x:row>
    <x:row r="12" ht="171.60000610351562" hidden="0" customHeight="1">
      <x:c r="A12" s="58" t="str">
        <x:v>Wise</x:v>
      </x:c>
      <x:c r="B12" s="58" t="str">
        <x:v>WISE</x:v>
      </x:c>
      <x:c r="C12" s="58" t="str">
        <x:v>LSE</x:v>
      </x:c>
      <x:c r="D12" s="58" t="str">
        <x:v>Alto crecimiento / calidad</x:v>
      </x:c>
      <x:c r="E12" s="59"/>
      <x:c r="F12" s="58" t="str">
        <x:v>GBX / USD</x:v>
      </x:c>
      <x:c r="G12" s="60" t="n">
        <x:v>905.6</x:v>
      </x:c>
      <x:c r="H12" s="61" t="n">
        <x:v>8940</x:v>
      </x:c>
      <x:c r="I12" s="62" t="n">
        <x:v>24.38446</x:v>
      </x:c>
      <x:c r="J12" s="60" t="n">
        <x:v>37.1384</x:v>
      </x:c>
      <x:c r="K12" s="60" t="n">
        <x:v>0</x:v>
      </x:c>
      <x:c r="L12" s="63" t="n">
        <x:v>0</x:v>
      </x:c>
      <x:c r="M12" s="61" t="n">
        <x:v>2502.8</x:v>
      </x:c>
      <x:c r="N12" s="63" t="n">
        <x:v>0.19</x:v>
      </x:c>
      <x:c r="O12" s="63" t="n">
        <x:v>-0.08</x:v>
      </x:c>
      <x:c r="P12" s="61" t="n">
        <x:v>407.6</x:v>
      </x:c>
      <x:c r="Q12" s="61" t="n">
        <x:v>-468</x:v>
      </x:c>
      <x:c r="R12" s="64" t="str">
        <x:f>IF(AND(I12&gt;0,O12&gt;0),I12/(O12*100),"")</x:f>
      </x:c>
      <x:c r="S12" s="58" t="str">
        <x:v>Volumen transfronterizo, más clientes y Wise Account; Q1 FY27 net revenue +25% y recompra prevista.</x:v>
      </x:c>
      <x:c r="T12" s="58" t="str">
        <x:v>PER exigente, take rate a la baja, tipos de interés, regulación y caja mezclada con fondos salvaguardados.</x:v>
      </x:c>
      <x:c r="U12" s="58" t="str">
        <x:v>Próxima actualización trimestral: tentativa 2026-10-15</x:v>
      </x:c>
      <x:c r="V12" s="58" t="str">
        <x:v>Vigilar / crecimiento con precio exigente</x:v>
      </x:c>
      <x:c r="W12" s="65" t="n">
        <x:v>2</x:v>
      </x:c>
      <x:c r="X12" s="59" t="n">
        <x:v>46238</x:v>
      </x:c>
      <x:c r="Y12" s="58" t="str">
        <x:v>WISE-MKT</x:v>
      </x:c>
      <x:c r="Z12" s="58" t="str">
        <x:v>WISE-Q1-27</x:v>
      </x:c>
      <x:c r="AA12" s="39" t="n">
        <x:f>IFERROR('Checklist_Lynch'!L12,"")</x:f>
        <x:v>12</x:v>
      </x:c>
      <x:c r="AB12" s="28" t="str">
        <x:f>IF(AA12&gt;=12,"Alta prioridad",IF(AA12&gt;=9,"Vigilancia","Revisar"))</x:f>
        <x:v>Alta prioridad</x:v>
      </x:c>
    </x:row>
    <x:row r="13" ht="198" hidden="0" customHeight="1">
      <x:c r="A13" s="58" t="str">
        <x:v>Auto Trader</x:v>
      </x:c>
      <x:c r="B13" s="58" t="str">
        <x:v>AUTO</x:v>
      </x:c>
      <x:c r="C13" s="58" t="str">
        <x:v>LSE</x:v>
      </x:c>
      <x:c r="D13" s="58" t="str">
        <x:v>Madura / crecimiento</x:v>
      </x:c>
      <x:c r="E13" s="59"/>
      <x:c r="F13" s="58" t="str">
        <x:v>GBX / GBP</x:v>
      </x:c>
      <x:c r="G13" s="60" t="n">
        <x:v>532.4</x:v>
      </x:c>
      <x:c r="H13" s="61" t="n">
        <x:v>4170</x:v>
      </x:c>
      <x:c r="I13" s="62" t="n">
        <x:v>15.58092</x:v>
      </x:c>
      <x:c r="J13" s="60" t="n">
        <x:v>34.17</x:v>
      </x:c>
      <x:c r="K13" s="60" t="n">
        <x:v>10.9</x:v>
      </x:c>
      <x:c r="L13" s="63" t="n">
        <x:v>0.02047</x:v>
      </x:c>
      <x:c r="M13" s="61" t="n">
        <x:v>624.3</x:v>
      </x:c>
      <x:c r="N13" s="63" t="n">
        <x:v>0.04</x:v>
      </x:c>
      <x:c r="O13" s="63" t="n">
        <x:v>0.04</x:v>
      </x:c>
      <x:c r="P13" s="61" t="n">
        <x:v>306.1</x:v>
      </x:c>
      <x:c r="Q13" s="61" t="n">
        <x:v>146.8</x:v>
      </x:c>
      <x:c r="R13" s="64" t="n">
        <x:f>IF(AND(I13&gt;0,O13&gt;0),I13/(O13*100),"")</x:f>
        <x:v>3.89523</x:v>
      </x:c>
      <x:c r="S13" s="58" t="str">
        <x:v>Marketplace dominante, ARPR +5%, margen operativo 63% y mejora de Deal Builder tras escuchar a concesionarios.</x:v>
      </x:c>
      <x:c r="T13" s="58" t="str">
        <x:v>Presión de concesionarios, menor stock pagado, confianza en Deal Builder, endeudamiento nuevo y Autorama aún en pérdidas.</x:v>
      </x:c>
      <x:c r="U13" s="58" t="str">
        <x:v>Resultados semestrales FY27: 2026-11-05</x:v>
      </x:c>
      <x:c r="V13" s="58" t="str">
        <x:v>Oportunidad condicional / vigilar Deal Builder</x:v>
      </x:c>
      <x:c r="W13" s="65" t="n">
        <x:v>1</x:v>
      </x:c>
      <x:c r="X13" s="59" t="n">
        <x:v>46238</x:v>
      </x:c>
      <x:c r="Y13" s="58" t="str">
        <x:v>AUTO-MKT</x:v>
      </x:c>
      <x:c r="Z13" s="58" t="str">
        <x:v>AUTO-FY26</x:v>
      </x:c>
      <x:c r="AA13" s="39" t="n">
        <x:f>IFERROR('Checklist_Lynch'!L13,"")</x:f>
        <x:v>13</x:v>
      </x:c>
      <x:c r="AB13" s="28" t="str">
        <x:f>IF(AA13&gt;=12,"Alta prioridad",IF(AA13&gt;=9,"Vigilancia","Revisar"))</x:f>
        <x:v>Alta prioridad</x:v>
      </x:c>
    </x:row>
    <x:row r="14" ht="184.8000030517578" hidden="0" customHeight="1">
      <x:c r="A14" s="58" t="str">
        <x:v>B&amp;M European Value Retail</x:v>
      </x:c>
      <x:c r="B14" s="58" t="str">
        <x:v>BME</x:v>
      </x:c>
      <x:c r="C14" s="58" t="str">
        <x:v>LSE</x:v>
      </x:c>
      <x:c r="D14" s="58" t="str">
        <x:v>Recuperable / cíclica</x:v>
      </x:c>
      <x:c r="E14" s="59"/>
      <x:c r="F14" s="58" t="str">
        <x:v>GBX / GBP</x:v>
      </x:c>
      <x:c r="G14" s="60" t="n">
        <x:v>225.8</x:v>
      </x:c>
      <x:c r="H14" s="61" t="n">
        <x:v>2230</x:v>
      </x:c>
      <x:c r="I14" s="62" t="n">
        <x:v>13.85</x:v>
      </x:c>
      <x:c r="J14" s="60" t="n">
        <x:v>16.3</x:v>
      </x:c>
      <x:c r="K14" s="60" t="n">
        <x:v>13.2</x:v>
      </x:c>
      <x:c r="L14" s="63" t="n">
        <x:v>0.05846</x:v>
      </x:c>
      <x:c r="M14" s="61" t="n">
        <x:v>5775</x:v>
      </x:c>
      <x:c r="N14" s="63" t="n">
        <x:v>0.036</x:v>
      </x:c>
      <x:c r="O14" s="63" t="n">
        <x:v>-0.259</x:v>
      </x:c>
      <x:c r="P14" s="61" t="n">
        <x:v>321</x:v>
      </x:c>
      <x:c r="Q14" s="61" t="n">
        <x:v>656</x:v>
      </x:c>
      <x:c r="R14" s="64" t="str">
        <x:f>IF(AND(I14&gt;0,O14&gt;0),I14/(O14*100),"")</x:f>
      </x:c>
      <x:c r="S14" s="58" t="str">
        <x:v>Plan Back to B&amp;M Basics, recuperación de margen UK y crecimiento de Francia; compras de consejeros en junio.</x:v>
      </x:c>
      <x:c r="T14" s="58" t="str">
        <x:v>Beneficio y margen muy deteriorados, LFL UK -2.3% en Q1, deuda y riesgo de trampa de dividendo.</x:v>
      </x:c>
      <x:c r="U14" s="58" t="str">
        <x:v>H1 FY27 / trading update: tentativa 2026-11-12</x:v>
      </x:c>
      <x:c r="V14" s="58" t="str">
        <x:v>Oportunidad de turnaround / esperar confirmación</x:v>
      </x:c>
      <x:c r="W14" s="65" t="n">
        <x:v>1</x:v>
      </x:c>
      <x:c r="X14" s="59" t="n">
        <x:v>46238</x:v>
      </x:c>
      <x:c r="Y14" s="58" t="str">
        <x:v>BME-MKT</x:v>
      </x:c>
      <x:c r="Z14" s="58" t="str">
        <x:v>BME-Q1-27</x:v>
      </x:c>
      <x:c r="AA14" s="39" t="n">
        <x:f>IFERROR('Checklist_Lynch'!L14,"")</x:f>
        <x:v>12</x:v>
      </x:c>
      <x:c r="AB14" s="28" t="str">
        <x:f>IF(AA14&gt;=12,"Alta prioridad",IF(AA14&gt;=9,"Vigilancia","Revisar"))</x:f>
        <x:v>Alta prioridad</x:v>
      </x:c>
    </x:row>
    <x:row r="15" ht="211.1999969482422" hidden="0" customHeight="1">
      <x:c r="A15" s="58" t="str">
        <x:v>Kainos Group</x:v>
      </x:c>
      <x:c r="B15" s="58" t="str">
        <x:v>KNOS</x:v>
      </x:c>
      <x:c r="C15" s="58" t="str">
        <x:v>LSE</x:v>
      </x:c>
      <x:c r="D15" s="58" t="str">
        <x:v>Crecimiento / nicho</x:v>
      </x:c>
      <x:c r="E15" s="59"/>
      <x:c r="F15" s="58" t="str">
        <x:v>GBX / GBP</x:v>
      </x:c>
      <x:c r="G15" s="60" t="n">
        <x:v>820</x:v>
      </x:c>
      <x:c r="H15" s="61" t="n">
        <x:v>945.42</x:v>
      </x:c>
      <x:c r="I15" s="62" t="n">
        <x:v>23.1</x:v>
      </x:c>
      <x:c r="J15" s="60" t="n">
        <x:v>35.5</x:v>
      </x:c>
      <x:c r="K15" s="60" t="n">
        <x:v>29.6</x:v>
      </x:c>
      <x:c r="L15" s="63" t="n">
        <x:v>0.0361</x:v>
      </x:c>
      <x:c r="M15" s="61" t="n">
        <x:v>431.1</x:v>
      </x:c>
      <x:c r="N15" s="63" t="n">
        <x:v>0.17</x:v>
      </x:c>
      <x:c r="O15" s="63" t="n">
        <x:v>0.02</x:v>
      </x:c>
      <x:c r="P15" s="61" t="n">
        <x:v>49.7</x:v>
      </x:c>
      <x:c r="Q15" s="61" t="n">
        <x:v>-89.1</x:v>
      </x:c>
      <x:c r="R15" s="64" t="n">
        <x:f>IF(AND(I15&gt;0,O15&gt;0),I15/(O15*100),"")</x:f>
        <x:v>11.55</x:v>
      </x:c>
      <x:c r="S15" s="58" t="str">
        <x:v>Workday Products ARR +23%, bookings +32% y backlog +18%; caja neta y recompras apoyan el nicho.</x:v>
      </x:c>
      <x:c r="T15" s="58" t="str">
        <x:v>Margen ajustado solo +2%, más contratistas/proveedores, concentración Workday y caja menor tras inversión/recompras.</x:v>
      </x:c>
      <x:c r="U15" s="58" t="str">
        <x:v>Trading update FY27: 2026-09-07</x:v>
      </x:c>
      <x:c r="V15" s="58" t="str">
        <x:v>Vigilar / posible entrada pequeña</x:v>
      </x:c>
      <x:c r="W15" s="65" t="n">
        <x:v>2</x:v>
      </x:c>
      <x:c r="X15" s="59" t="n">
        <x:v>46238</x:v>
      </x:c>
      <x:c r="Y15" s="58" t="str">
        <x:v>KNOS-MKT</x:v>
      </x:c>
      <x:c r="Z15" s="58" t="str">
        <x:v>KNOS-FY26</x:v>
      </x:c>
      <x:c r="AA15" s="39" t="n">
        <x:f>IFERROR('Checklist_Lynch'!L15,"")</x:f>
        <x:v>13</x:v>
      </x:c>
      <x:c r="AB15" s="28" t="str">
        <x:f>IF(AA15&gt;=12,"Alta prioridad",IF(AA15&gt;=9,"Vigilancia","Revisar"))</x:f>
        <x:v>Alta prioridad</x:v>
      </x:c>
    </x:row>
    <x:row r="16" ht="171.60000610351562" hidden="0" customHeight="1">
      <x:c r="A16" s="58" t="str">
        <x:v>Plus500</x:v>
      </x:c>
      <x:c r="B16" s="58" t="str">
        <x:v>PLUS</x:v>
      </x:c>
      <x:c r="C16" s="58" t="str">
        <x:v>LSE</x:v>
      </x:c>
      <x:c r="D16" s="58" t="str">
        <x:v>Madura / cíclica</x:v>
      </x:c>
      <x:c r="E16" s="59"/>
      <x:c r="F16" s="58" t="str">
        <x:v>GBX / USD</x:v>
      </x:c>
      <x:c r="G16" s="60" t="n">
        <x:v>3746</x:v>
      </x:c>
      <x:c r="H16" s="61" t="n">
        <x:v>2580</x:v>
      </x:c>
      <x:c r="I16" s="62" t="n">
        <x:v>12.83602</x:v>
      </x:c>
      <x:c r="J16" s="60" t="n">
        <x:v>291.83512</x:v>
      </x:c>
      <x:c r="K16" s="60" t="n">
        <x:v>67.01867</x:v>
      </x:c>
      <x:c r="L16" s="63" t="n">
        <x:v>0.01789</x:v>
      </x:c>
      <x:c r="M16" s="61" t="n">
        <x:v>462.9</x:v>
      </x:c>
      <x:c r="N16" s="63" t="n">
        <x:v>0.12</x:v>
      </x:c>
      <x:c r="O16" s="63" t="n">
        <x:v>0.01</x:v>
      </x:c>
      <x:c r="P16" s="61" t="n">
        <x:v>280.1</x:v>
      </x:c>
      <x:c r="Q16" s="61" t="n">
        <x:v>-850</x:v>
      </x:c>
      <x:c r="R16" s="64" t="n">
        <x:f>IF(AND(I16&gt;0,O16&gt;0),I16/(O16*100),"")</x:f>
        <x:v>12.83602</x:v>
      </x:c>
      <x:c r="S16" s="58" t="str">
        <x:v>Resultados H1 el 10-ago, retorno de capital, crecimiento de futuros/prediction markets y caja &gt;850m.</x:v>
      </x:c>
      <x:c r="T16" s="58" t="str">
        <x:v>CFD y volatilidad, regulación, margen EBITDA estancado, clientes FY25 -5% y mayor peso de negocios no-OTC.</x:v>
      </x:c>
      <x:c r="U16" s="58" t="str">
        <x:v>Resultados H1 2026: 2026-08-10</x:v>
      </x:c>
      <x:c r="V16" s="58" t="str">
        <x:v>Oportunidad especulativa / esperar H1</x:v>
      </x:c>
      <x:c r="W16" s="65" t="n">
        <x:v>2</x:v>
      </x:c>
      <x:c r="X16" s="59" t="n">
        <x:v>46238</x:v>
      </x:c>
      <x:c r="Y16" s="58" t="str">
        <x:v>PLUS-MKT</x:v>
      </x:c>
      <x:c r="Z16" s="58" t="str">
        <x:v>PLUS-H1-26</x:v>
      </x:c>
      <x:c r="AA16" s="39" t="n">
        <x:f>IFERROR('Checklist_Lynch'!L16,"")</x:f>
        <x:v>14</x:v>
      </x:c>
      <x:c r="AB16" s="28" t="str">
        <x:f>IF(AA16&gt;=12,"Alta prioridad",IF(AA16&gt;=9,"Vigilancia","Revisar"))</x:f>
        <x:v>Alta prioridad</x:v>
      </x:c>
    </x:row>
    <x:row r="17" ht="184.8000030517578" hidden="0" customHeight="1">
      <x:c r="A17" s="58" t="str">
        <x:v>Rightmove</x:v>
      </x:c>
      <x:c r="B17" s="58" t="str">
        <x:v>RMV</x:v>
      </x:c>
      <x:c r="C17" s="58" t="str">
        <x:v>LSE</x:v>
      </x:c>
      <x:c r="D17" s="58" t="str">
        <x:v>Calidad / marketplace</x:v>
      </x:c>
      <x:c r="E17" s="59"/>
      <x:c r="F17" s="58" t="str">
        <x:v>GBX / GBP</x:v>
      </x:c>
      <x:c r="G17" s="60" t="n">
        <x:v>474.8</x:v>
      </x:c>
      <x:c r="H17" s="61" t="n">
        <x:v>3520</x:v>
      </x:c>
      <x:c r="I17" s="62" t="n">
        <x:v>16.8968</x:v>
      </x:c>
      <x:c r="J17" s="60" t="n">
        <x:v>28.1</x:v>
      </x:c>
      <x:c r="K17" s="60" t="n">
        <x:v>10.15</x:v>
      </x:c>
      <x:c r="L17" s="63" t="n">
        <x:v>0.02138</x:v>
      </x:c>
      <x:c r="M17" s="61" t="n">
        <x:v>425.1</x:v>
      </x:c>
      <x:c r="N17" s="63" t="n">
        <x:v>0.09</x:v>
      </x:c>
      <x:c r="O17" s="63" t="n">
        <x:v>0.09</x:v>
      </x:c>
      <x:c r="P17" s="61"/>
      <x:c r="Q17" s="61" t="n">
        <x:v>-29.6</x:v>
      </x:c>
      <x:c r="R17" s="64" t="n">
        <x:f>IF(AND(I17&gt;0,O17&gt;0),I17/(O17*100),"")</x:f>
        <x:v>1.877422222222222</x:v>
      </x:c>
      <x:c r="S17" s="58" t="str">
        <x:v>Network effect, consenso FY26: EPS 30.02p y guía 2026 de ingresos +8–10%; áreas estratégicas en crecimiento.</x:v>
      </x:c>
      <x:c r="T17" s="58" t="str">
        <x:v>Propiedad cíclica, presión de agentes/competencia, litigio/riesgo regulatorio y gasto en innovación.</x:v>
      </x:c>
      <x:c r="U17" s="58" t="str">
        <x:v>H1 2026 publicado 2026-07-31; revisión post-resultados 2026-08-31</x:v>
      </x:c>
      <x:c r="V17" s="58" t="str">
        <x:v>Esperar / calidad, no perseguir precio</x:v>
      </x:c>
      <x:c r="W17" s="65" t="n">
        <x:v>2</x:v>
      </x:c>
      <x:c r="X17" s="59" t="n">
        <x:v>46238</x:v>
      </x:c>
      <x:c r="Y17" s="58" t="str">
        <x:v>RMV-MKT</x:v>
      </x:c>
      <x:c r="Z17" s="58" t="str">
        <x:v>RMV-FY25</x:v>
      </x:c>
      <x:c r="AA17" s="39" t="n">
        <x:f>IFERROR('Checklist_Lynch'!L17,"")</x:f>
        <x:v>13</x:v>
      </x:c>
      <x:c r="AB17" s="28" t="str">
        <x:f>IF(AA17&gt;=12,"Alta prioridad",IF(AA17&gt;=9,"Vigilancia","Revisar"))</x:f>
        <x:v>Alta prioridad</x:v>
      </x:c>
    </x:row>
    <x:row r="18" ht="158.39999389648438" hidden="0" customHeight="1">
      <x:c r="A18" s="58" t="str">
        <x:v>Games Workshop</x:v>
      </x:c>
      <x:c r="B18" s="58" t="str">
        <x:v>GAW</x:v>
      </x:c>
      <x:c r="C18" s="58" t="str">
        <x:v>LSE</x:v>
      </x:c>
      <x:c r="D18" s="58" t="str">
        <x:v>Calidad / IP y nicho</x:v>
      </x:c>
      <x:c r="E18" s="59"/>
      <x:c r="F18" s="58" t="str">
        <x:v>GBX / GBP</x:v>
      </x:c>
      <x:c r="G18" s="60" t="n">
        <x:v>19940</x:v>
      </x:c>
      <x:c r="H18" s="61" t="n">
        <x:v>6590</x:v>
      </x:c>
      <x:c r="I18" s="62" t="n">
        <x:v>33.518</x:v>
      </x:c>
      <x:c r="J18" s="60" t="n">
        <x:v>594.9</x:v>
      </x:c>
      <x:c r="K18" s="60" t="n">
        <x:v>485</x:v>
      </x:c>
      <x:c r="L18" s="63" t="n">
        <x:v>0.02432</x:v>
      </x:c>
      <x:c r="M18" s="61" t="n">
        <x:v>659.7</x:v>
      </x:c>
      <x:c r="N18" s="63" t="n">
        <x:v>0.068</x:v>
      </x:c>
      <x:c r="O18" s="63" t="n">
        <x:v>0.052</x:v>
      </x:c>
      <x:c r="P18" s="61" t="n">
        <x:v>210.3</x:v>
      </x:c>
      <x:c r="Q18" s="61"/>
      <x:c r="R18" s="64" t="n">
        <x:f>IF(AND(I18&gt;0,O18&gt;0),I18/(O18*100),"")</x:f>
        <x:v>6.445769230769231</x:v>
      </x:c>
      <x:c r="S18" s="58" t="str">
        <x:v>Warhammer/IP, ingresos core +10.9%, balance sin deuda y caja creciendo antes de dividendos.</x:v>
      </x:c>
      <x:c r="T18" s="58" t="str">
        <x:v>PER exigente, dependencia de ejecución/licencias y riesgo de que el crecimiento se normalice.</x:v>
      </x:c>
      <x:c r="U18" s="58" t="str">
        <x:v>Revisión de trading pre-interinos: tentativa 2026-11-05</x:v>
      </x:c>
      <x:c r="V18" s="58" t="str">
        <x:v>Vigilar / negocio excelente, precio exigente</x:v>
      </x:c>
      <x:c r="W18" s="65" t="n">
        <x:v>2</x:v>
      </x:c>
      <x:c r="X18" s="59" t="n">
        <x:v>46238</x:v>
      </x:c>
      <x:c r="Y18" s="58" t="str">
        <x:v>GAW-MKT</x:v>
      </x:c>
      <x:c r="Z18" s="58" t="str">
        <x:v>GAW-FY26</x:v>
      </x:c>
      <x:c r="AA18" s="39" t="n">
        <x:f>IFERROR('Checklist_Lynch'!L18,"")</x:f>
        <x:v>13</x:v>
      </x:c>
      <x:c r="AB18" s="28" t="str">
        <x:f>IF(AA18&gt;=12,"Alta prioridad",IF(AA18&gt;=9,"Vigilancia","Revisar"))</x:f>
        <x:v>Alta prioridad</x:v>
      </x:c>
    </x:row>
    <x:row r="19" ht="158.39999389648438" hidden="0" customHeight="1">
      <x:c r="A19" s="58" t="str">
        <x:v>Computacenter</x:v>
      </x:c>
      <x:c r="B19" s="58" t="str">
        <x:v>CCC</x:v>
      </x:c>
      <x:c r="C19" s="58" t="str">
        <x:v>LSE</x:v>
      </x:c>
      <x:c r="D19" s="58" t="str">
        <x:v>Crecimiento / servicios IT</x:v>
      </x:c>
      <x:c r="E19" s="59"/>
      <x:c r="F19" s="58" t="str">
        <x:v>GBX / GBP</x:v>
      </x:c>
      <x:c r="G19" s="60" t="n">
        <x:v>4818</x:v>
      </x:c>
      <x:c r="H19" s="61" t="n">
        <x:v>5060</x:v>
      </x:c>
      <x:c r="I19" s="62" t="n">
        <x:v>32.887</x:v>
      </x:c>
      <x:c r="J19" s="60" t="n">
        <x:v>146.5</x:v>
      </x:c>
      <x:c r="K19" s="60" t="n">
        <x:v>71</x:v>
      </x:c>
      <x:c r="L19" s="63" t="n">
        <x:v>0.0155</x:v>
      </x:c>
      <x:c r="M19" s="61" t="n">
        <x:v>9193.9</x:v>
      </x:c>
      <x:c r="N19" s="63" t="n">
        <x:v>0.32</x:v>
      </x:c>
      <x:c r="O19" s="63" t="n">
        <x:v>0.113</x:v>
      </x:c>
      <x:c r="P19" s="61"/>
      <x:c r="Q19" s="61" t="n">
        <x:v>-606</x:v>
      </x:c>
      <x:c r="R19" s="64" t="n">
        <x:f>IF(AND(I19&gt;0,O19&gt;0),I19/(O19*100),"")</x:f>
        <x:v>2.910353982300885</x:v>
      </x:c>
      <x:c r="S19" s="58" t="str">
        <x:v>Q1 2026 muy por encima de expectativas; Technology Sourcing fuerte y caja neta ajustada de £606m.</x:v>
      </x:c>
      <x:c r="T19" s="58" t="str">
        <x:v>Margen bruto bajó a 12.4%, Managed Services débil y PER alto para una empresa de servicios.</x:v>
      </x:c>
      <x:c r="U19" s="58" t="str">
        <x:v>Resultados H1 2026: 2026-09-08</x:v>
      </x:c>
      <x:c r="V19" s="58" t="str">
        <x:v>Vigilar / crecimiento con riesgo de margen</x:v>
      </x:c>
      <x:c r="W19" s="65" t="n">
        <x:v>2</x:v>
      </x:c>
      <x:c r="X19" s="59" t="n">
        <x:v>46238</x:v>
      </x:c>
      <x:c r="Y19" s="58" t="str">
        <x:v>CCC-MKT</x:v>
      </x:c>
      <x:c r="Z19" s="58" t="str">
        <x:v>CCC-Q1-26</x:v>
      </x:c>
      <x:c r="AA19" s="39" t="n">
        <x:f>IFERROR('Checklist_Lynch'!L19,"")</x:f>
        <x:v>12</x:v>
      </x:c>
      <x:c r="AB19" s="28" t="str">
        <x:f>IF(AA19&gt;=12,"Alta prioridad",IF(AA19&gt;=9,"Vigilancia","Revisar"))</x:f>
        <x:v>Alta prioridad</x:v>
      </x:c>
    </x:row>
    <x:row r="20" ht="171.60000610351562" hidden="0" customHeight="1">
      <x:c r="A20" s="58" t="str">
        <x:v>Howdens Joinery</x:v>
      </x:c>
      <x:c r="B20" s="58" t="str">
        <x:v>HWDN</x:v>
      </x:c>
      <x:c r="C20" s="58" t="str">
        <x:v>LSE</x:v>
      </x:c>
      <x:c r="D20" s="58" t="str">
        <x:v>Calidad / cíclica</x:v>
      </x:c>
      <x:c r="E20" s="59"/>
      <x:c r="F20" s="58" t="str">
        <x:v>GBX / GBP</x:v>
      </x:c>
      <x:c r="G20" s="60" t="n">
        <x:v>821.5</x:v>
      </x:c>
      <x:c r="H20" s="61" t="n">
        <x:v>4500</x:v>
      </x:c>
      <x:c r="I20" s="62" t="n">
        <x:v>16.69715</x:v>
      </x:c>
      <x:c r="J20" s="60" t="n">
        <x:v>49.2</x:v>
      </x:c>
      <x:c r="K20" s="60" t="n">
        <x:v>21.3</x:v>
      </x:c>
      <x:c r="L20" s="63" t="n">
        <x:v>0.02593</x:v>
      </x:c>
      <x:c r="M20" s="61" t="n">
        <x:v>1030.6</x:v>
      </x:c>
      <x:c r="N20" s="63" t="n">
        <x:v>0.033</x:v>
      </x:c>
      <x:c r="O20" s="63" t="n">
        <x:v>0.055</x:v>
      </x:c>
      <x:c r="P20" s="61"/>
      <x:c r="Q20" s="61" t="n">
        <x:v>-332.8</x:v>
      </x:c>
      <x:c r="R20" s="64" t="n">
        <x:f>IF(AND(I20&gt;0,O20&gt;0),I20/(O20*100),"")</x:f>
        <x:v>3.0358454545454547</x:v>
      </x:c>
      <x:c r="S20" s="58" t="str">
        <x:v>Modelo trade-only, margen bruto H1 62.8%, EBIT subyacente +5.5% y recompra de £100m en 2026.</x:v>
      </x:c>
      <x:c r="T20" s="58" t="str">
        <x:v>Sensibilidad a vivienda/remodelación, adquisición DIY Kitchens y valoración si el crecimiento se enfría.</x:v>
      </x:c>
      <x:c r="U20" s="58" t="str">
        <x:v>Trading update: 2026-11-05</x:v>
      </x:c>
      <x:c r="V20" s="58" t="str">
        <x:v>Vigilar / solo con margen</x:v>
      </x:c>
      <x:c r="W20" s="65" t="n">
        <x:v>2</x:v>
      </x:c>
      <x:c r="X20" s="59" t="n">
        <x:v>46238</x:v>
      </x:c>
      <x:c r="Y20" s="58" t="str">
        <x:v>HWDN-MKT</x:v>
      </x:c>
      <x:c r="Z20" s="58" t="str">
        <x:v>HWDN-H1-26</x:v>
      </x:c>
      <x:c r="AA20" s="39" t="n">
        <x:f>IFERROR('Checklist_Lynch'!L20,"")</x:f>
        <x:v>13</x:v>
      </x:c>
      <x:c r="AB20" s="28" t="str">
        <x:f>IF(AA20&gt;=12,"Alta prioridad",IF(AA20&gt;=9,"Vigilancia","Revisar"))</x:f>
        <x:v>Alta prioridad</x:v>
      </x:c>
    </x:row>
    <x:row r="21" ht="171.60000610351562" hidden="0" customHeight="1">
      <x:c r="A21" s="58" t="str">
        <x:v>Domino's Pizza Group</x:v>
      </x:c>
      <x:c r="B21" s="58" t="str">
        <x:v>DOM</x:v>
      </x:c>
      <x:c r="C21" s="58" t="str">
        <x:v>LSE</x:v>
      </x:c>
      <x:c r="D21" s="58" t="str">
        <x:v>Madura / recuperable</x:v>
      </x:c>
      <x:c r="E21" s="59"/>
      <x:c r="F21" s="58" t="str">
        <x:v>GBX / GBP</x:v>
      </x:c>
      <x:c r="G21" s="60" t="n">
        <x:v>201.6</x:v>
      </x:c>
      <x:c r="H21" s="61" t="n">
        <x:v>768.41</x:v>
      </x:c>
      <x:c r="I21" s="62" t="n">
        <x:v>13.35099</x:v>
      </x:c>
      <x:c r="J21" s="60" t="n">
        <x:v>15.1</x:v>
      </x:c>
      <x:c r="K21" s="60" t="n">
        <x:v>11.1</x:v>
      </x:c>
      <x:c r="L21" s="63" t="n">
        <x:v>0.05506</x:v>
      </x:c>
      <x:c r="M21" s="61" t="n">
        <x:v>685.4</x:v>
      </x:c>
      <x:c r="N21" s="63" t="n">
        <x:v>0.031</x:v>
      </x:c>
      <x:c r="O21" s="63" t="n">
        <x:v>-0.066</x:v>
      </x:c>
      <x:c r="P21" s="61"/>
      <x:c r="Q21" s="61"/>
      <x:c r="R21" s="64" t="str">
        <x:f>IF(AND(I21&gt;0,O21&gt;0),I21/(O21*100),"")</x:f>
      </x:c>
      <x:c r="S21" s="58" t="str">
        <x:v>Franquicia/brand comprensible, dividendo 5.5% y momentum positivo en las primeras 9 semanas de 2026.</x:v>
      </x:c>
      <x:c r="T21" s="58" t="str">
        <x:v>EBITDA y PBT FY25 cayeron; presión promocional, activismo y necesidad de demostrar la estrategia.</x:v>
      </x:c>
      <x:c r="U21" s="58" t="str">
        <x:v>Resultados H1 2026: 2026-08-04; revisión 2026-08-05</x:v>
      </x:c>
      <x:c r="V21" s="58" t="str">
        <x:v>Esperar resultados / turnaround condicional</x:v>
      </x:c>
      <x:c r="W21" s="65" t="n">
        <x:v>2</x:v>
      </x:c>
      <x:c r="X21" s="59" t="n">
        <x:v>46238</x:v>
      </x:c>
      <x:c r="Y21" s="58" t="str">
        <x:v>DOM-MKT</x:v>
      </x:c>
      <x:c r="Z21" s="58" t="str">
        <x:v>DOM-FY25</x:v>
      </x:c>
      <x:c r="AA21" s="39" t="n">
        <x:f>IFERROR('Checklist_Lynch'!L21,"")</x:f>
        <x:v>11</x:v>
      </x:c>
      <x:c r="AB21" s="28" t="str">
        <x:f>IF(AA21&gt;=12,"Alta prioridad",IF(AA21&gt;=9,"Vigilancia","Revisar"))</x:f>
        <x:v>Vigilancia</x:v>
      </x:c>
    </x:row>
    <x:row r="22" ht="184.8000030517578" hidden="0" customHeight="1">
      <x:c r="A22" s="58" t="str">
        <x:v>Bellway</x:v>
      </x:c>
      <x:c r="B22" s="58" t="str">
        <x:v>BWY</x:v>
      </x:c>
      <x:c r="C22" s="58" t="str">
        <x:v>LSE</x:v>
      </x:c>
      <x:c r="D22" s="58" t="str">
        <x:v>Existente / cíclica</x:v>
      </x:c>
      <x:c r="E22" s="59"/>
      <x:c r="F22" s="58" t="str">
        <x:v>GBX / GBP</x:v>
      </x:c>
      <x:c r="G22" s="60" t="n">
        <x:v>1986</x:v>
      </x:c>
      <x:c r="H22" s="61" t="n">
        <x:v>2240</x:v>
      </x:c>
      <x:c r="I22" s="62" t="n">
        <x:v>14.72892</x:v>
      </x:c>
      <x:c r="J22" s="60" t="n">
        <x:v>132.8</x:v>
      </x:c>
      <x:c r="K22" s="60" t="n">
        <x:v>59</x:v>
      </x:c>
      <x:c r="L22" s="63" t="n">
        <x:v>0.03016</x:v>
      </x:c>
      <x:c r="M22" s="61" t="n">
        <x:v>2782.8</x:v>
      </x:c>
      <x:c r="N22" s="63" t="n">
        <x:v>0.169</x:v>
      </x:c>
      <x:c r="O22" s="63" t="n">
        <x:v>0.178</x:v>
      </x:c>
      <x:c r="P22" s="61"/>
      <x:c r="Q22" s="61" t="n">
        <x:v>236</x:v>
      </x:c>
      <x:c r="R22" s="64" t="n">
        <x:f>IF(AND(I22&gt;0,O22&gt;0),I22/(O22*100),"")</x:f>
        <x:v>0.8274674157303371</x:v>
      </x:c>
      <x:c r="S22" s="58" t="str">
        <x:v>Orderbook de £1.57bn, beneficio operativo FY26 guiado a £320–330m y potencial de normalización de vivienda.</x:v>
      </x:c>
      <x:c r="T22" s="58" t="str">
        <x:v>Tipos hipotecarios, demanda moderada, costes de construcción y carácter cíclico del beneficio.</x:v>
      </x:c>
      <x:c r="U22" s="58" t="str">
        <x:v>Trading update: 2026-08-11</x:v>
      </x:c>
      <x:c r="V22" s="58" t="str">
        <x:v>Vigilar / oportunidad cíclica</x:v>
      </x:c>
      <x:c r="W22" s="65" t="n">
        <x:v>1</x:v>
      </x:c>
      <x:c r="X22" s="59" t="n">
        <x:v>46238</x:v>
      </x:c>
      <x:c r="Y22" s="58" t="str">
        <x:v>BWY-MKT</x:v>
      </x:c>
      <x:c r="Z22" s="58" t="str">
        <x:v>BWY-TRD</x:v>
      </x:c>
      <x:c r="AA22" s="39" t="n">
        <x:f>IFERROR('Checklist_Lynch'!L22,"")</x:f>
        <x:v>12</x:v>
      </x:c>
      <x:c r="AB22" s="28" t="str">
        <x:f>IF(AA22&gt;=12,"Alta prioridad",IF(AA22&gt;=9,"Vigilancia","Revisar"))</x:f>
        <x:v>Alta prioridad</x:v>
      </x:c>
    </x:row>
    <x:row r="23" ht="198" hidden="0" customHeight="1">
      <x:c r="A23" s="58" t="str">
        <x:v>Babcock International</x:v>
      </x:c>
      <x:c r="B23" s="58" t="str">
        <x:v>BAB</x:v>
      </x:c>
      <x:c r="C23" s="58" t="str">
        <x:v>LSE</x:v>
      </x:c>
      <x:c r="D23" s="58" t="str">
        <x:v>Defensa / turnaround</x:v>
      </x:c>
      <x:c r="E23" s="59"/>
      <x:c r="F23" s="58" t="str">
        <x:v>GBX / GBP</x:v>
      </x:c>
      <x:c r="G23" s="60" t="n">
        <x:v>1121</x:v>
      </x:c>
      <x:c r="H23" s="61" t="n">
        <x:v>5510</x:v>
      </x:c>
      <x:c r="I23" s="62" t="n">
        <x:v>18.52893</x:v>
      </x:c>
      <x:c r="J23" s="60" t="n">
        <x:v>60.5</x:v>
      </x:c>
      <x:c r="K23" s="60" t="n">
        <x:v>7.5</x:v>
      </x:c>
      <x:c r="L23" s="63" t="n">
        <x:v>0.00669</x:v>
      </x:c>
      <x:c r="M23" s="61" t="n">
        <x:v>5273</x:v>
      </x:c>
      <x:c r="N23" s="63" t="n">
        <x:v>0.0915</x:v>
      </x:c>
      <x:c r="O23" s="63" t="n">
        <x:v>0.192</x:v>
      </x:c>
      <x:c r="P23" s="61" t="n">
        <x:v>262</x:v>
      </x:c>
      <x:c r="Q23" s="61" t="n">
        <x:v>-23</x:v>
      </x:c>
      <x:c r="R23" s="64" t="n">
        <x:f>IF(AND(I23&gt;0,O23&gt;0),I23/(O23*100),"")</x:f>
        <x:v>0.9650484375</x:v>
      </x:c>
      <x:c r="S23" s="58" t="str">
        <x:v>Backlog £9.8bn, FCF +£109m, balance en caja neta y recompra FY27 de £200m.</x:v>
      </x:c>
      <x:c r="T23" s="58" t="str">
        <x:v>Cargo extraordinario Type 31, ejecución de contratos y diferencia entre beneficio subyacente y estatutario.</x:v>
      </x:c>
      <x:c r="U23" s="58" t="str">
        <x:v>Revisión H1 FY27: tentativa 2026-11-20</x:v>
      </x:c>
      <x:c r="V23" s="58" t="str">
        <x:v>Vigilar / recuperación con caja</x:v>
      </x:c>
      <x:c r="W23" s="65" t="n">
        <x:v>2</x:v>
      </x:c>
      <x:c r="X23" s="59" t="n">
        <x:v>46238</x:v>
      </x:c>
      <x:c r="Y23" s="58" t="str">
        <x:v>BAB-MKT</x:v>
      </x:c>
      <x:c r="Z23" s="58" t="str">
        <x:v>BAB-FY26</x:v>
      </x:c>
      <x:c r="AA23" s="39" t="n">
        <x:f>IFERROR('Checklist_Lynch'!L23,"")</x:f>
        <x:v>13</x:v>
      </x:c>
      <x:c r="AB23" s="28" t="str">
        <x:f>IF(AA23&gt;=12,"Alta prioridad",IF(AA23&gt;=9,"Vigilancia","Revisar"))</x:f>
        <x:v>Alta prioridad</x:v>
      </x:c>
    </x:row>
    <x:row r="24" ht="171.60000610351562" hidden="0" customHeight="1">
      <x:c r="A24" s="58" t="str">
        <x:v>Oxford Instruments</x:v>
      </x:c>
      <x:c r="B24" s="58" t="str">
        <x:v>OXIG</x:v>
      </x:c>
      <x:c r="C24" s="58" t="str">
        <x:v>LSE</x:v>
      </x:c>
      <x:c r="D24" s="58" t="str">
        <x:v>Nicho / tecnología</x:v>
      </x:c>
      <x:c r="E24" s="59"/>
      <x:c r="F24" s="58" t="str">
        <x:v>GBX / GBP</x:v>
      </x:c>
      <x:c r="G24" s="60" t="n">
        <x:v>2860</x:v>
      </x:c>
      <x:c r="H24" s="61" t="n">
        <x:v>1570</x:v>
      </x:c>
      <x:c r="I24" s="62" t="n">
        <x:v>33.806</x:v>
      </x:c>
      <x:c r="J24" s="60" t="n">
        <x:v>84.6</x:v>
      </x:c>
      <x:c r="K24" s="60" t="n">
        <x:v>22.5</x:v>
      </x:c>
      <x:c r="L24" s="63" t="n">
        <x:v>0.00787</x:v>
      </x:c>
      <x:c r="M24" s="61" t="n">
        <x:v>423.2</x:v>
      </x:c>
      <x:c r="N24" s="63" t="n">
        <x:v>-0.046</x:v>
      </x:c>
      <x:c r="O24" s="63" t="n">
        <x:v>-0.073</x:v>
      </x:c>
      <x:c r="P24" s="61"/>
      <x:c r="Q24" s="61" t="n">
        <x:v>-94</x:v>
      </x:c>
      <x:c r="R24" s="64" t="str">
        <x:f>IF(AND(I24&gt;0,O24&gt;0),I24/(O24*100),"")</x:f>
      </x:c>
      <x:c r="S24" s="58" t="str">
        <x:v>Order intake +6.4%, book-to-bill 1.067 y caja neta £94m; exposición a semiconductores/ciencia aplicada.</x:v>
      </x:c>
      <x:c r="T24" s="58" t="str">
        <x:v>Ingresos FY26 a la baja, presión de margen ajustado y PER alto mientras convierte pedidos en ventas.</x:v>
      </x:c>
      <x:c r="U24" s="58" t="str">
        <x:v>Revisión de interinos: tentativa 2026-11-12</x:v>
      </x:c>
      <x:c r="V24" s="58" t="str">
        <x:v>Vigilar / esperar conversión de pedidos</x:v>
      </x:c>
      <x:c r="W24" s="65" t="n">
        <x:v>2</x:v>
      </x:c>
      <x:c r="X24" s="59" t="n">
        <x:v>46238</x:v>
      </x:c>
      <x:c r="Y24" s="58" t="str">
        <x:v>OXIG-MKT</x:v>
      </x:c>
      <x:c r="Z24" s="58" t="str">
        <x:v>OXIG-FY26</x:v>
      </x:c>
      <x:c r="AA24" s="39" t="n">
        <x:f>IFERROR('Checklist_Lynch'!L24,"")</x:f>
        <x:v>12</x:v>
      </x:c>
      <x:c r="AB24" s="28" t="str">
        <x:f>IF(AA24&gt;=12,"Alta prioridad",IF(AA24&gt;=9,"Vigilancia","Revisar"))</x:f>
        <x:v>Alta prioridad</x:v>
      </x:c>
    </x:row>
    <x:row r="25" ht="171.60000610351562" hidden="0" customHeight="1">
      <x:c r="A25" s="58" t="str">
        <x:v>4imprint Group</x:v>
      </x:c>
      <x:c r="B25" s="58" t="str">
        <x:v>FOUR</x:v>
      </x:c>
      <x:c r="C25" s="58" t="str">
        <x:v>LSE</x:v>
      </x:c>
      <x:c r="D25" s="58" t="str">
        <x:v>Madura / calidad con descuento</x:v>
      </x:c>
      <x:c r="E25" s="59"/>
      <x:c r="F25" s="58" t="str">
        <x:v>GBX / USD</x:v>
      </x:c>
      <x:c r="G25" s="60" t="n">
        <x:v>4390</x:v>
      </x:c>
      <x:c r="H25" s="61" t="n">
        <x:v>1230</x:v>
      </x:c>
      <x:c r="I25" s="62" t="n">
        <x:v>14.61869</x:v>
      </x:c>
      <x:c r="J25" s="60" t="n">
        <x:v>300.30057</x:v>
      </x:c>
      <x:c r="K25" s="60" t="n">
        <x:v>183.8</x:v>
      </x:c>
      <x:c r="L25" s="63" t="n">
        <x:v>0.04187</x:v>
      </x:c>
      <x:c r="M25" s="61" t="n">
        <x:v>1346.8</x:v>
      </x:c>
      <x:c r="N25" s="63" t="n">
        <x:v>-0.02</x:v>
      </x:c>
      <x:c r="O25" s="63" t="n">
        <x:v>-0.02</x:v>
      </x:c>
      <x:c r="P25" s="61"/>
      <x:c r="Q25" s="61" t="n">
        <x:v>-132.8</x:v>
      </x:c>
      <x:c r="R25" s="64" t="str">
        <x:f>IF(AND(I25&gt;0,O25&gt;0),I25/(O25*100),"")</x:f>
      </x:c>
      <x:c r="S25" s="58" t="str">
        <x:v>Negocio directo con caja, clientes existentes estables y dividendo; mañana debe aclarar si el bache es temporal.</x:v>
      </x:c>
      <x:c r="T25" s="58" t="str">
        <x:v>Pedidos -3%, nuevos pedidos -12%, aranceles y riesgo de que el descenso no sea transitorio.</x:v>
      </x:c>
      <x:c r="U25" s="58" t="str">
        <x:v>Resultados H1 2026: 2026-08-05</x:v>
      </x:c>
      <x:c r="V25" s="58" t="str">
        <x:v>Esperar H1 / no perseguir precio</x:v>
      </x:c>
      <x:c r="W25" s="65" t="n">
        <x:v>2</x:v>
      </x:c>
      <x:c r="X25" s="59" t="n">
        <x:v>46238</x:v>
      </x:c>
      <x:c r="Y25" s="58" t="str">
        <x:v>FOUR-MKT</x:v>
      </x:c>
      <x:c r="Z25" s="58" t="str">
        <x:v>FOUR-FY25</x:v>
      </x:c>
      <x:c r="AA25" s="39" t="n">
        <x:f>IFERROR('Checklist_Lynch'!L25,"")</x:f>
        <x:v>13</x:v>
      </x:c>
      <x:c r="AB25" s="28" t="str">
        <x:f>IF(AA25&gt;=12,"Alta prioridad",IF(AA25&gt;=9,"Vigilancia","Revisar"))</x:f>
        <x:v>Alta prioridad</x:v>
      </x:c>
    </x:row>
    <x:row r="26" ht="158.39999389648438" hidden="0" customHeight="1">
      <x:c r="A26" s="58" t="str">
        <x:v>Jet2</x:v>
      </x:c>
      <x:c r="B26" s="58" t="str">
        <x:v>JET2</x:v>
      </x:c>
      <x:c r="C26" s="58" t="str">
        <x:v>LSE</x:v>
      </x:c>
      <x:c r="D26" s="58" t="str">
        <x:v>Cíclica / crecimiento</x:v>
      </x:c>
      <x:c r="E26" s="59"/>
      <x:c r="F26" s="58" t="str">
        <x:v>GBX / GBP</x:v>
      </x:c>
      <x:c r="G26" s="60" t="n">
        <x:v>1540</x:v>
      </x:c>
      <x:c r="H26" s="61" t="n">
        <x:v>2780</x:v>
      </x:c>
      <x:c r="I26" s="62" t="n">
        <x:v>7.291667</x:v>
      </x:c>
      <x:c r="J26" s="60" t="n">
        <x:v>211.2</x:v>
      </x:c>
      <x:c r="K26" s="60" t="n">
        <x:v>15.1</x:v>
      </x:c>
      <x:c r="L26" s="63" t="n">
        <x:v>0.00981</x:v>
      </x:c>
      <x:c r="M26" s="61" t="n">
        <x:v>7482.1</x:v>
      </x:c>
      <x:c r="N26" s="63" t="n">
        <x:v>0.043</x:v>
      </x:c>
      <x:c r="O26" s="63" t="n">
        <x:v>-0.02</x:v>
      </x:c>
      <x:c r="P26" s="61"/>
      <x:c r="Q26" s="61" t="n">
        <x:v>-2012.9</x:v>
      </x:c>
      <x:c r="R26" s="64" t="str">
        <x:f>IF(AND(I26&gt;0,O26&gt;0),I26/(O26*100),"")</x:f>
      </x:c>
      <x:c r="S26" s="58" t="str">
        <x:v>Pasajeros +5%, capacidad verano 2026 +7.7%, caja neta £2.0bn, Gatwick y recompra £250m.</x:v>
      </x:c>
      <x:c r="T26" s="58" t="str">
        <x:v>Combustible, divisas, geopolítica, demanda de viajes y volatilidad normal del margen aéreo.</x:v>
      </x:c>
      <x:c r="U26" s="58" t="str">
        <x:v>Revisión tras temporada de verano: tentativa 2026-11-17</x:v>
      </x:c>
      <x:c r="V26" s="58" t="str">
        <x:v>Compra escalonada solo con margen</x:v>
      </x:c>
      <x:c r="W26" s="65" t="n">
        <x:v>1</x:v>
      </x:c>
      <x:c r="X26" s="59" t="n">
        <x:v>46238</x:v>
      </x:c>
      <x:c r="Y26" s="58" t="str">
        <x:v>JET2-MKT</x:v>
      </x:c>
      <x:c r="Z26" s="58" t="str">
        <x:v>JET2-FY26</x:v>
      </x:c>
      <x:c r="AA26" s="39" t="n">
        <x:f>IFERROR('Checklist_Lynch'!L26,"")</x:f>
        <x:v>14</x:v>
      </x:c>
      <x:c r="AB26" s="28" t="str">
        <x:f>IF(AA26&gt;=12,"Alta prioridad",IF(AA26&gt;=9,"Vigilancia","Revisar"))</x:f>
        <x:v>Alta prioridad</x:v>
      </x:c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  <x:c r="AA27" s="33"/>
      <x:c r="AB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  <x:c r="AA28" s="33"/>
      <x:c r="AB28" s="33"/>
    </x:row>
    <x:row r="29" ht="15" hidden="0" customHeight="1">
      <x:c r="A29" s="36" t="str">
        <x:v>Notas de uso</x:v>
      </x:c>
      <x:c r="B29" s="36" t="str">
        <x:v>Notas de uso</x:v>
      </x:c>
      <x:c r="C29" s="36" t="str">
        <x:v>Notas de uso</x:v>
      </x:c>
      <x:c r="D29" s="36" t="str">
        <x:v>Notas de uso</x:v>
      </x:c>
      <x:c r="E29" s="36" t="str">
        <x:v>Notas de uso</x:v>
      </x:c>
      <x:c r="F29" s="36" t="str">
        <x:v>Notas de uso</x:v>
      </x:c>
      <x:c r="G29" s="36" t="str">
        <x:v>Notas de uso</x:v>
      </x:c>
      <x:c r="H29" s="36" t="str">
        <x:v>Notas de uso</x:v>
      </x:c>
      <x:c r="I29" s="36" t="str">
        <x:v>Notas de uso</x:v>
      </x:c>
      <x:c r="J29" s="36" t="str">
        <x:v>Notas de uso</x:v>
      </x:c>
      <x:c r="K29" s="36" t="str">
        <x:v>Notas de uso</x:v>
      </x:c>
      <x:c r="L29" s="36" t="str">
        <x:v>Notas de uso</x:v>
      </x:c>
      <x:c r="M29" s="36" t="str">
        <x:v>Notas de uso</x:v>
      </x:c>
      <x:c r="N29" s="36" t="str">
        <x:v>Notas de uso</x:v>
      </x:c>
      <x:c r="O29" s="36" t="str">
        <x:v>Notas de uso</x:v>
      </x:c>
      <x:c r="P29" s="36" t="str">
        <x:v>Notas de uso</x:v>
      </x:c>
      <x:c r="Q29" s="36" t="str">
        <x:v>Notas de uso</x:v>
      </x:c>
      <x:c r="R29" s="36" t="str">
        <x:v>Notas de uso</x:v>
      </x:c>
      <x:c r="S29" s="36" t="str">
        <x:v>Notas de uso</x:v>
      </x:c>
      <x:c r="T29" s="36" t="str">
        <x:v>Notas de uso</x:v>
      </x:c>
      <x:c r="U29" s="36" t="str">
        <x:v>Notas de uso</x:v>
      </x:c>
      <x:c r="V29" s="36" t="str">
        <x:v>Notas de uso</x:v>
      </x:c>
      <x:c r="W29" s="36" t="str">
        <x:v>Notas de uso</x:v>
      </x:c>
      <x:c r="X29" s="36" t="str">
        <x:v>Notas de uso</x:v>
      </x:c>
      <x:c r="Y29" s="36" t="str">
        <x:v>Notas de uso</x:v>
      </x:c>
      <x:c r="Z29" s="36" t="str">
        <x:v>Notas de uso</x:v>
      </x:c>
      <x:c r="AA29" s="36" t="str">
        <x:v>Notas de uso</x:v>
      </x:c>
      <x:c r="AB29" s="36" t="str">
        <x:v>Notas de uso</x:v>
      </x:c>
    </x:row>
    <x:row r="30" ht="26.399999618530273" hidden="0" customHeight="1">
      <x:c r="A30" s="35" t="str">
        <x:v>* PEG heurístico</x:v>
      </x:c>
      <x:c r="B30" s="33" t="str">
        <x:v>PER dividido por el crecimiento porcentual del EBITDA/beneficio. No usar con pérdidas, cíclicas, periodos mezclados o divisas distintas.</x:v>
      </x:c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  <x:c r="AA30" s="33"/>
      <x:c r="AB30" s="33"/>
    </x:row>
    <x:row r="31" ht="26.399999618530273" hidden="0" customHeight="1">
      <x:c r="A31" s="35" t="str">
        <x:v>Datos mixtos</x:v>
      </x:c>
      <x:c r="B31" s="33" t="str">
        <x:v>Para no inventar, algunas filas usan FY2025/FY2026 y otras el último trimestre disponible. La hoja Historial separa los periodos.</x:v>
      </x:c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  <x:c r="AA31" s="33"/>
      <x:c r="AB31" s="33"/>
    </x:row>
    <x:row r="32" ht="15" hidden="0" customHeight="1">
      <x:c r="A32" s="35" t="str">
        <x:v>Estado</x:v>
      </x:c>
      <x:c r="B32" s="33" t="str">
        <x:v>La prioridad es una señal de trabajo, no una orden de compra. Define precio de entrada y condición de invalidación en Checklist_Lynch y Seguimiento.</x:v>
      </x:c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  <x:c r="AA32" s="33"/>
      <x:c r="AB32" s="33"/>
    </x:row>
  </x:sheetData>
  <x:mergeCells>
    <x:mergeCell ref="A1:AB1"/>
    <x:mergeCell ref="A2:AB2"/>
    <x:mergeCell ref="A29:AB29"/>
    <x:mergeCell ref="B30:AB30"/>
    <x:mergeCell ref="B31:AB31"/>
    <x:mergeCell ref="B32:AB32"/>
  </x:mergeCells>
  <x:conditionalFormatting sqref="A5:AB26">
    <x:cfRule type="containsText" dxfId="0" priority="1" operator="containsText" text="Alta prioridad"/>
    <x:cfRule type="containsText" dxfId="1" priority="2" operator="containsText" text="Esperar"/>
  </x:conditionalFormatting>
  <x:pageMargins left="0.7" right="0.7" top="0.75" bottom="0.75" header="0.3" footer="0.3"/>
  <x:tableParts count="1">
    <x:tablePart xmlns:r="http://schemas.openxmlformats.org/officeDocument/2006/relationships" r:id="R2be6ee07d0e64d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13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0" hidden="0" customWidth="1"/>
    <x:col min="10" max="10" width="10" hidden="0" customWidth="1"/>
    <x:col min="11" max="11" width="10" hidden="0" customWidth="1"/>
    <x:col min="12" max="12" width="15" hidden="0" customWidth="1"/>
    <x:col min="13" max="13" width="15" hidden="0" customWidth="1"/>
    <x:col min="14" max="14" width="15" hidden="0" customWidth="1"/>
    <x:col min="15" max="15" width="13" hidden="0" customWidth="1"/>
    <x:col min="16" max="16" width="15" hidden="0" customWidth="1"/>
    <x:col min="17" max="17" width="12" hidden="0" customWidth="1"/>
    <x:col min="18" max="18" width="42" hidden="0" customWidth="1"/>
    <x:col min="19" max="19" width="42" hidden="0" customWidth="1"/>
    <x:col min="20" max="20" width="42" hidden="0" customWidth="1"/>
    <x:col min="21" max="21" width="14" hidden="0" customWidth="1"/>
    <x:col min="22" max="22" width="30" hidden="0" customWidth="1"/>
  </x:cols>
  <x:sheetData>
    <x:row r="1" ht="19.200000762939453" hidden="0" customHeight="1">
      <x:c r="A1" s="34" t="str">
        <x:v>Análisis prioritario — valoración por escenarios</x:v>
      </x:c>
      <x:c r="B1" s="34" t="str">
        <x:v>Análisis prioritario — valoración por escenarios</x:v>
      </x:c>
      <x:c r="C1" s="34" t="str">
        <x:v>Análisis prioritario — valoración por escenarios</x:v>
      </x:c>
      <x:c r="D1" s="34" t="str">
        <x:v>Análisis prioritario — valoración por escenarios</x:v>
      </x:c>
      <x:c r="E1" s="34" t="str">
        <x:v>Análisis prioritario — valoración por escenarios</x:v>
      </x:c>
      <x:c r="F1" s="34" t="str">
        <x:v>Análisis prioritario — valoración por escenarios</x:v>
      </x:c>
      <x:c r="G1" s="34" t="str">
        <x:v>Análisis prioritario — valoración por escenarios</x:v>
      </x:c>
      <x:c r="H1" s="34" t="str">
        <x:v>Análisis prioritario — valoración por escenarios</x:v>
      </x:c>
      <x:c r="I1" s="34" t="str">
        <x:v>Análisis prioritario — valoración por escenarios</x:v>
      </x:c>
      <x:c r="J1" s="34" t="str">
        <x:v>Análisis prioritario — valoración por escenarios</x:v>
      </x:c>
      <x:c r="K1" s="34" t="str">
        <x:v>Análisis prioritario — valoración por escenarios</x:v>
      </x:c>
      <x:c r="L1" s="34" t="str">
        <x:v>Análisis prioritario — valoración por escenarios</x:v>
      </x:c>
      <x:c r="M1" s="34" t="str">
        <x:v>Análisis prioritario — valoración por escenarios</x:v>
      </x:c>
      <x:c r="N1" s="34" t="str">
        <x:v>Análisis prioritario — valoración por escenarios</x:v>
      </x:c>
      <x:c r="O1" s="34" t="str">
        <x:v>Análisis prioritario — valoración por escenarios</x:v>
      </x:c>
      <x:c r="P1" s="34" t="str">
        <x:v>Análisis prioritario — valoración por escenarios</x:v>
      </x:c>
      <x:c r="Q1" s="34" t="str">
        <x:v>Análisis prioritario — valoración por escenarios</x:v>
      </x:c>
      <x:c r="R1" s="34" t="str">
        <x:v>Análisis prioritario — valoración por escenarios</x:v>
      </x:c>
      <x:c r="S1" s="34" t="str">
        <x:v>Análisis prioritario — valoración por escenarios</x:v>
      </x:c>
      <x:c r="T1" s="34" t="str">
        <x:v>Análisis prioritario — valoración por escenarios</x:v>
      </x:c>
      <x:c r="U1" s="34" t="str">
        <x:v>Análisis prioritario — valoración por escenarios</x:v>
      </x:c>
      <x:c r="V1" s="34" t="str">
        <x:v>Análisis prioritario — valoración por escenarios</x:v>
      </x:c>
    </x:row>
    <x:row r="2" ht="15" hidden="0" customHeight="1">
      <x:c r="A2" s="8" t="str">
        <x:v>Cuatro candidatas para profundizar primero. Precios y EPS de referencia están en GBX/pence; los escenarios y PER objetivo son hipótesis de trabajo editables, no una recomendación automática.</x:v>
      </x:c>
      <x:c r="B2" s="8" t="str">
        <x:v>Cuatro candidatas para profundizar primero. Precios y EPS de referencia están en GBX/pence; los escenarios y PER objetivo son hipótesis de trabajo editables, no una recomendación automática.</x:v>
      </x:c>
      <x:c r="C2" s="8" t="str">
        <x:v>Cuatro candidatas para profundizar primero. Precios y EPS de referencia están en GBX/pence; los escenarios y PER objetivo son hipótesis de trabajo editables, no una recomendación automática.</x:v>
      </x:c>
      <x:c r="D2" s="8" t="str">
        <x:v>Cuatro candidatas para profundizar primero. Precios y EPS de referencia están en GBX/pence; los escenarios y PER objetivo son hipótesis de trabajo editables, no una recomendación automática.</x:v>
      </x:c>
      <x:c r="E2" s="8" t="str">
        <x:v>Cuatro candidatas para profundizar primero. Precios y EPS de referencia están en GBX/pence; los escenarios y PER objetivo son hipótesis de trabajo editables, no una recomendación automática.</x:v>
      </x:c>
      <x:c r="F2" s="8" t="str">
        <x:v>Cuatro candidatas para profundizar primero. Precios y EPS de referencia están en GBX/pence; los escenarios y PER objetivo son hipótesis de trabajo editables, no una recomendación automática.</x:v>
      </x:c>
      <x:c r="G2" s="8" t="str">
        <x:v>Cuatro candidatas para profundizar primero. Precios y EPS de referencia están en GBX/pence; los escenarios y PER objetivo son hipótesis de trabajo editables, no una recomendación automática.</x:v>
      </x:c>
      <x:c r="H2" s="8" t="str">
        <x:v>Cuatro candidatas para profundizar primero. Precios y EPS de referencia están en GBX/pence; los escenarios y PER objetivo son hipótesis de trabajo editables, no una recomendación automática.</x:v>
      </x:c>
      <x:c r="I2" s="8" t="str">
        <x:v>Cuatro candidatas para profundizar primero. Precios y EPS de referencia están en GBX/pence; los escenarios y PER objetivo son hipótesis de trabajo editables, no una recomendación automática.</x:v>
      </x:c>
      <x:c r="J2" s="8" t="str">
        <x:v>Cuatro candidatas para profundizar primero. Precios y EPS de referencia están en GBX/pence; los escenarios y PER objetivo son hipótesis de trabajo editables, no una recomendación automática.</x:v>
      </x:c>
      <x:c r="K2" s="8" t="str">
        <x:v>Cuatro candidatas para profundizar primero. Precios y EPS de referencia están en GBX/pence; los escenarios y PER objetivo son hipótesis de trabajo editables, no una recomendación automática.</x:v>
      </x:c>
      <x:c r="L2" s="8" t="str">
        <x:v>Cuatro candidatas para profundizar primero. Precios y EPS de referencia están en GBX/pence; los escenarios y PER objetivo son hipótesis de trabajo editables, no una recomendación automática.</x:v>
      </x:c>
      <x:c r="M2" s="8" t="str">
        <x:v>Cuatro candidatas para profundizar primero. Precios y EPS de referencia están en GBX/pence; los escenarios y PER objetivo son hipótesis de trabajo editables, no una recomendación automática.</x:v>
      </x:c>
      <x:c r="N2" s="8" t="str">
        <x:v>Cuatro candidatas para profundizar primero. Precios y EPS de referencia están en GBX/pence; los escenarios y PER objetivo son hipótesis de trabajo editables, no una recomendación automática.</x:v>
      </x:c>
      <x:c r="O2" s="8" t="str">
        <x:v>Cuatro candidatas para profundizar primero. Precios y EPS de referencia están en GBX/pence; los escenarios y PER objetivo son hipótesis de trabajo editables, no una recomendación automática.</x:v>
      </x:c>
      <x:c r="P2" s="8" t="str">
        <x:v>Cuatro candidatas para profundizar primero. Precios y EPS de referencia están en GBX/pence; los escenarios y PER objetivo son hipótesis de trabajo editables, no una recomendación automática.</x:v>
      </x:c>
      <x:c r="Q2" s="8" t="str">
        <x:v>Cuatro candidatas para profundizar primero. Precios y EPS de referencia están en GBX/pence; los escenarios y PER objetivo son hipótesis de trabajo editables, no una recomendación automática.</x:v>
      </x:c>
      <x:c r="R2" s="8" t="str">
        <x:v>Cuatro candidatas para profundizar primero. Precios y EPS de referencia están en GBX/pence; los escenarios y PER objetivo son hipótesis de trabajo editables, no una recomendación automática.</x:v>
      </x:c>
      <x:c r="S2" s="8" t="str">
        <x:v>Cuatro candidatas para profundizar primero. Precios y EPS de referencia están en GBX/pence; los escenarios y PER objetivo son hipótesis de trabajo editables, no una recomendación automática.</x:v>
      </x:c>
      <x:c r="T2" s="8" t="str">
        <x:v>Cuatro candidatas para profundizar primero. Precios y EPS de referencia están en GBX/pence; los escenarios y PER objetivo son hipótesis de trabajo editables, no una recomendación automática.</x:v>
      </x:c>
      <x:c r="U2" s="8" t="str">
        <x:v>Cuatro candidatas para profundizar primero. Precios y EPS de referencia están en GBX/pence; los escenarios y PER objetivo son hipótesis de trabajo editables, no una recomendación automática.</x:v>
      </x:c>
      <x:c r="V2" s="8" t="str">
        <x:v>Cuatro candidatas para profundizar primero. Precios y EPS de referencia están en GBX/pence; los escenarios y PER objetivo son hipótesis de trabajo editables, no una recomendación automática.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 ht="36" hidden="0" customHeight="1">
      <x:c r="A4" s="20" t="str">
        <x:v>Empresa</x:v>
      </x:c>
      <x:c r="B4" s="20" t="str">
        <x:v>Ticker</x:v>
      </x:c>
      <x:c r="C4" s="20" t="str">
        <x:v>Precio actual (GBX)</x:v>
      </x:c>
      <x:c r="D4" s="20" t="str">
        <x:v>EPS referencia (GBX)</x:v>
      </x:c>
      <x:c r="E4" s="20" t="str">
        <x:v>PER actual</x:v>
      </x:c>
      <x:c r="F4" s="20" t="str">
        <x:v>EPS bajo</x:v>
      </x:c>
      <x:c r="G4" s="20" t="str">
        <x:v>EPS base</x:v>
      </x:c>
      <x:c r="H4" s="20" t="str">
        <x:v>EPS alto</x:v>
      </x:c>
      <x:c r="I4" s="20" t="str">
        <x:v>PER bajo</x:v>
      </x:c>
      <x:c r="J4" s="20" t="str">
        <x:v>PER base</x:v>
      </x:c>
      <x:c r="K4" s="20" t="str">
        <x:v>PER alto</x:v>
      </x:c>
      <x:c r="L4" s="20" t="str">
        <x:v>Precio razonable bajo (GBX)</x:v>
      </x:c>
      <x:c r="M4" s="20" t="str">
        <x:v>Precio razonable base (GBX)</x:v>
      </x:c>
      <x:c r="N4" s="20" t="str">
        <x:v>Precio razonable alto (GBX)</x:v>
      </x:c>
      <x:c r="O4" s="20" t="str">
        <x:v>Margen seguridad</x:v>
      </x:c>
      <x:c r="P4" s="20" t="str">
        <x:v>Precio entrada base (GBX)</x:v>
      </x:c>
      <x:c r="Q4" s="20" t="str">
        <x:v>Upside base</x:v>
      </x:c>
      <x:c r="R4" s="20" t="str">
        <x:v>Catalizador / qué comprobar</x:v>
      </x:c>
      <x:c r="S4" s="20" t="str">
        <x:v>Invalidación</x:v>
      </x:c>
      <x:c r="T4" s="20" t="str">
        <x:v>Decisión provisional</x:v>
      </x:c>
      <x:c r="U4" s="20" t="str">
        <x:v>Próxima revisión</x:v>
      </x:c>
      <x:c r="V4" s="20" t="str">
        <x:v>Fuentes</x:v>
      </x:c>
    </x:row>
    <x:row r="5" ht="145.1999969482422" hidden="0" customHeight="1">
      <x:c r="A5" s="58" t="str">
        <x:v>Rightmove</x:v>
      </x:c>
      <x:c r="B5" s="58" t="str">
        <x:v>RMV</x:v>
      </x:c>
      <x:c r="C5" s="60" t="n">
        <x:v>474.8</x:v>
      </x:c>
      <x:c r="D5" s="60" t="n">
        <x:v>28.1</x:v>
      </x:c>
      <x:c r="E5" s="64" t="n">
        <x:f>IFERROR(C5/D5,"")</x:f>
        <x:v>16.89679715302491</x:v>
      </x:c>
      <x:c r="F5" s="60" t="n">
        <x:v>28.1</x:v>
      </x:c>
      <x:c r="G5" s="60" t="n">
        <x:v>30.02</x:v>
      </x:c>
      <x:c r="H5" s="60" t="n">
        <x:v>31.09</x:v>
      </x:c>
      <x:c r="I5" s="62" t="n">
        <x:v>14</x:v>
      </x:c>
      <x:c r="J5" s="62" t="n">
        <x:v>17</x:v>
      </x:c>
      <x:c r="K5" s="62" t="n">
        <x:v>19</x:v>
      </x:c>
      <x:c r="L5" s="71" t="n">
        <x:f>F5*I5</x:f>
        <x:v>393.40000000000003</x:v>
      </x:c>
      <x:c r="M5" s="71" t="n">
        <x:f>G5*J5</x:f>
        <x:v>510.34</x:v>
      </x:c>
      <x:c r="N5" s="71" t="n">
        <x:f>H5*K5</x:f>
        <x:v>590.71</x:v>
      </x:c>
      <x:c r="O5" s="63" t="n">
        <x:v>0.2</x:v>
      </x:c>
      <x:c r="P5" s="71" t="n">
        <x:f>M5*(1-O5)</x:f>
        <x:v>408.272</x:v>
      </x:c>
      <x:c r="Q5" s="72" t="n">
        <x:f>IFERROR(M5/C5-1,"")</x:f>
        <x:v>0.0748525695029485</x:v>
      </x:c>
      <x:c r="R5" s="58" t="str">
        <x:v>H1 2026: comprobar EPS, membresía, ARPA, áreas estratégicas, LLM referrals y margen.</x:v>
      </x:c>
      <x:c r="S5" s="58" t="str">
        <x:v>EPS sin crecimiento, membresía negativa, litigio/regulación o margen operativo &lt;65%.</x:v>
      </x:c>
      <x:c r="T5" s="58" t="str">
        <x:v>Esperar: calidad alta, pero el escenario base ofrece poco margen al precio actual.</x:v>
      </x:c>
      <x:c r="U5" s="59" t="n">
        <x:v>46265</x:v>
      </x:c>
      <x:c r="V5" s="40" t="str">
        <x:v>RMV-MKT / RMV-FY25 / RMV-CONS</x:v>
      </x:c>
    </x:row>
    <x:row r="6" ht="158.39999389648438" hidden="0" customHeight="1">
      <x:c r="A6" s="58" t="str">
        <x:v>Jet2</x:v>
      </x:c>
      <x:c r="B6" s="58" t="str">
        <x:v>JET2</x:v>
      </x:c>
      <x:c r="C6" s="60" t="n">
        <x:v>1540</x:v>
      </x:c>
      <x:c r="D6" s="60" t="n">
        <x:v>211.2</x:v>
      </x:c>
      <x:c r="E6" s="64" t="n">
        <x:f>IFERROR(C6/D6,"")</x:f>
        <x:v>7.291666666666667</x:v>
      </x:c>
      <x:c r="F6" s="60" t="n">
        <x:v>170</x:v>
      </x:c>
      <x:c r="G6" s="60" t="n">
        <x:v>211.2</x:v>
      </x:c>
      <x:c r="H6" s="60" t="n">
        <x:v>230</x:v>
      </x:c>
      <x:c r="I6" s="62" t="n">
        <x:v>6.5</x:v>
      </x:c>
      <x:c r="J6" s="62" t="n">
        <x:v>9</x:v>
      </x:c>
      <x:c r="K6" s="62" t="n">
        <x:v>11</x:v>
      </x:c>
      <x:c r="L6" s="71" t="n">
        <x:f>F6*I6</x:f>
        <x:v>1105</x:v>
      </x:c>
      <x:c r="M6" s="71" t="n">
        <x:f>G6*J6</x:f>
        <x:v>1900.8</x:v>
      </x:c>
      <x:c r="N6" s="71" t="n">
        <x:f>H6*K6</x:f>
        <x:v>2530</x:v>
      </x:c>
      <x:c r="O6" s="63" t="n">
        <x:v>0.2</x:v>
      </x:c>
      <x:c r="P6" s="71" t="n">
        <x:f>M6*(1-O6)</x:f>
        <x:v>1520.64</x:v>
      </x:c>
      <x:c r="Q6" s="72" t="n">
        <x:f>IFERROR(M6/C6-1,"")</x:f>
        <x:v>0.2342857142857142</x:v>
      </x:c>
      <x:c r="R6" s="58" t="str">
        <x:v>Interinos: reservas, yield, combustible, capacidad, Gatwick, caja neta y recompra de £250m.</x:v>
      </x:c>
      <x:c r="S6" s="58" t="str">
        <x:v>Caída de demanda o margen, combustible/divisa adversos, geopolítica o uso agresivo de la caja.</x:v>
      </x:c>
      <x:c r="T6" s="58" t="str">
        <x:v>Compra escalonada solo si el precio vuelve a la zona de entrada y se acepta la ciclicidad.</x:v>
      </x:c>
      <x:c r="U6" s="59" t="n">
        <x:v>46343</x:v>
      </x:c>
      <x:c r="V6" s="40" t="str">
        <x:v>JET2-MKT / JET2-FY26 / JET2-CAL</x:v>
      </x:c>
    </x:row>
    <x:row r="7" ht="158.39999389648438" hidden="0" customHeight="1">
      <x:c r="A7" s="58" t="str">
        <x:v>Howdens Joinery</x:v>
      </x:c>
      <x:c r="B7" s="58" t="str">
        <x:v>HWDN</x:v>
      </x:c>
      <x:c r="C7" s="60" t="n">
        <x:v>821.5</x:v>
      </x:c>
      <x:c r="D7" s="60" t="n">
        <x:v>49.2</x:v>
      </x:c>
      <x:c r="E7" s="64" t="n">
        <x:f>IFERROR(C7/D7,"")</x:f>
        <x:v>16.697154471544714</x:v>
      </x:c>
      <x:c r="F7" s="60" t="n">
        <x:v>45</x:v>
      </x:c>
      <x:c r="G7" s="60" t="n">
        <x:v>51</x:v>
      </x:c>
      <x:c r="H7" s="60" t="n">
        <x:v>55</x:v>
      </x:c>
      <x:c r="I7" s="62" t="n">
        <x:v>14</x:v>
      </x:c>
      <x:c r="J7" s="62" t="n">
        <x:v>17.5</x:v>
      </x:c>
      <x:c r="K7" s="62" t="n">
        <x:v>19</x:v>
      </x:c>
      <x:c r="L7" s="71" t="n">
        <x:f>F7*I7</x:f>
        <x:v>630</x:v>
      </x:c>
      <x:c r="M7" s="71" t="n">
        <x:f>G7*J7</x:f>
        <x:v>892.5</x:v>
      </x:c>
      <x:c r="N7" s="71" t="n">
        <x:f>H7*K7</x:f>
        <x:v>1045</x:v>
      </x:c>
      <x:c r="O7" s="63" t="n">
        <x:v>0.2</x:v>
      </x:c>
      <x:c r="P7" s="71" t="n">
        <x:f>M7*(1-O7)</x:f>
        <x:v>714</x:v>
      </x:c>
      <x:c r="Q7" s="72" t="n">
        <x:f>IFERROR(M7/C7-1,"")</x:f>
        <x:v>0.08642726719415705</x:v>
      </x:c>
      <x:c r="R7" s="58" t="str">
        <x:v>Trading update: ventas comparables, margen bruto, DIY Kitchens, aperturas, vivienda y caja.</x:v>
      </x:c>
      <x:c r="S7" s="58" t="str">
        <x:v>LFL negativo, margen decreciente, adquisición sin retorno o deuda/capex tensionan la caja.</x:v>
      </x:c>
      <x:c r="T7" s="58" t="str">
        <x:v>Vigilar: interesante si ofrece al menos 20% de margen de seguridad sobre el caso base.</x:v>
      </x:c>
      <x:c r="U7" s="59" t="n">
        <x:v>46331</x:v>
      </x:c>
      <x:c r="V7" s="40" t="str">
        <x:v>HWDN-MKT / HWDN-H1-26 / HWDN-CAL</x:v>
      </x:c>
    </x:row>
    <x:row r="8" ht="145.1999969482422" hidden="0" customHeight="1">
      <x:c r="A8" s="58" t="str">
        <x:v>4imprint Group</x:v>
      </x:c>
      <x:c r="B8" s="58" t="str">
        <x:v>FOUR</x:v>
      </x:c>
      <x:c r="C8" s="60" t="n">
        <x:v>4390</x:v>
      </x:c>
      <x:c r="D8" s="60" t="n">
        <x:v>300.30057</x:v>
      </x:c>
      <x:c r="E8" s="64" t="n">
        <x:f>IFERROR(C8/D8,"")</x:f>
        <x:v>14.61868687095732</x:v>
      </x:c>
      <x:c r="F8" s="60" t="n">
        <x:v>250</x:v>
      </x:c>
      <x:c r="G8" s="60" t="n">
        <x:v>300.30057</x:v>
      </x:c>
      <x:c r="H8" s="60" t="n">
        <x:v>360</x:v>
      </x:c>
      <x:c r="I8" s="62" t="n">
        <x:v>11</x:v>
      </x:c>
      <x:c r="J8" s="62" t="n">
        <x:v>14</x:v>
      </x:c>
      <x:c r="K8" s="62" t="n">
        <x:v>16</x:v>
      </x:c>
      <x:c r="L8" s="71" t="n">
        <x:f>F8*I8</x:f>
        <x:v>2750</x:v>
      </x:c>
      <x:c r="M8" s="71" t="n">
        <x:f>G8*J8</x:f>
        <x:v>4204.20798</x:v>
      </x:c>
      <x:c r="N8" s="71" t="n">
        <x:f>H8*K8</x:f>
        <x:v>5760</x:v>
      </x:c>
      <x:c r="O8" s="63" t="n">
        <x:v>0.2</x:v>
      </x:c>
      <x:c r="P8" s="71" t="n">
        <x:f>M8*(1-O8)</x:f>
        <x:v>3363.3663840000004</x:v>
      </x:c>
      <x:c r="Q8" s="72" t="n">
        <x:f>IFERROR(M8/C8-1,"")</x:f>
        <x:v>-0.04232164464692478</x:v>
      </x:c>
      <x:c r="R8" s="58" t="str">
        <x:v>Resultados H1: pedidos nuevos/existentes, AOV, margen, aranceles, caja y guía.</x:v>
      </x:c>
      <x:c r="S8" s="58" t="str">
        <x:v>Pedidos y margen siguen bajando, aranceles erosionan beneficio o la caja se consume.</x:v>
      </x:c>
      <x:c r="T8" s="58" t="str">
        <x:v>Esperar H1: el precio actual exige recuperación; no comprar antes de confirmar pedidos.</x:v>
      </x:c>
      <x:c r="U8" s="59" t="n">
        <x:v>46239</x:v>
      </x:c>
      <x:c r="V8" s="40" t="str">
        <x:v>FOUR-MKT / FOUR-FY25 / FOUR-CAL</x:v>
      </x:c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 ht="15" hidden="0" customHeight="1">
      <x:c r="A11" s="36" t="str">
        <x:v>Cómo leer y actualizar los escenarios</x:v>
      </x:c>
      <x:c r="B11" s="36" t="str">
        <x:v>Cómo leer y actualizar los escenarios</x:v>
      </x:c>
      <x:c r="C11" s="36" t="str">
        <x:v>Cómo leer y actualizar los escenarios</x:v>
      </x:c>
      <x:c r="D11" s="36" t="str">
        <x:v>Cómo leer y actualizar los escenarios</x:v>
      </x:c>
      <x:c r="E11" s="36" t="str">
        <x:v>Cómo leer y actualizar los escenarios</x:v>
      </x:c>
      <x:c r="F11" s="36" t="str">
        <x:v>Cómo leer y actualizar los escenarios</x:v>
      </x:c>
      <x:c r="G11" s="36" t="str">
        <x:v>Cómo leer y actualizar los escenarios</x:v>
      </x:c>
      <x:c r="H11" s="36" t="str">
        <x:v>Cómo leer y actualizar los escenarios</x:v>
      </x:c>
      <x:c r="I11" s="36" t="str">
        <x:v>Cómo leer y actualizar los escenarios</x:v>
      </x:c>
      <x:c r="J11" s="36" t="str">
        <x:v>Cómo leer y actualizar los escenarios</x:v>
      </x:c>
      <x:c r="K11" s="36" t="str">
        <x:v>Cómo leer y actualizar los escenarios</x:v>
      </x:c>
      <x:c r="L11" s="36" t="str">
        <x:v>Cómo leer y actualizar los escenarios</x:v>
      </x:c>
      <x:c r="M11" s="36" t="str">
        <x:v>Cómo leer y actualizar los escenarios</x:v>
      </x:c>
      <x:c r="N11" s="36" t="str">
        <x:v>Cómo leer y actualizar los escenarios</x:v>
      </x:c>
      <x:c r="O11" s="36" t="str">
        <x:v>Cómo leer y actualizar los escenarios</x:v>
      </x:c>
      <x:c r="P11" s="36" t="str">
        <x:v>Cómo leer y actualizar los escenarios</x:v>
      </x:c>
      <x:c r="Q11" s="36" t="str">
        <x:v>Cómo leer y actualizar los escenarios</x:v>
      </x:c>
      <x:c r="R11" s="36" t="str">
        <x:v>Cómo leer y actualizar los escenarios</x:v>
      </x:c>
      <x:c r="S11" s="36" t="str">
        <x:v>Cómo leer y actualizar los escenarios</x:v>
      </x:c>
      <x:c r="T11" s="36" t="str">
        <x:v>Cómo leer y actualizar los escenarios</x:v>
      </x:c>
      <x:c r="U11" s="36" t="str">
        <x:v>Cómo leer y actualizar los escenarios</x:v>
      </x:c>
      <x:c r="V11" s="36" t="str">
        <x:v>Cómo leer y actualizar los escenarios</x:v>
      </x:c>
    </x:row>
    <x:row r="12" ht="39.599998474121094" hidden="0" customHeight="1">
      <x:c r="A12" s="35" t="str">
        <x:v>EPS bajo/base/alto</x:v>
      </x:c>
      <x:c r="B12" s="33" t="str">
        <x:v>Supuestos editables; el caso base usa consenso solo en Rightmove y referencias FY26/H1 en el resto.</x:v>
      </x:c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 ht="26.399999618530273" hidden="0" customHeight="1">
      <x:c r="A13" s="35" t="str">
        <x:v>PER objetivo</x:v>
      </x:c>
      <x:c r="B13" s="33" t="str">
        <x:v>Múltiplo de salida elegido por calidad, ciclicidad y riesgo; no es una predicción.</x:v>
      </x:c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 ht="39.599998474121094" hidden="0" customHeight="1">
      <x:c r="A14" s="35" t="str">
        <x:v>Precio entrada base</x:v>
      </x:c>
      <x:c r="B14" s="33" t="str">
        <x:v>Precio razonable base × (1 – margen de seguridad).</x:v>
      </x:c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 ht="26.399999618530273" hidden="0" customHeight="1">
      <x:c r="A15" s="35" t="str">
        <x:v>Disciplina Lynch</x:v>
      </x:c>
      <x:c r="B15" s="33" t="str">
        <x:v>Cuando llegue la fecha de revisión, sustituye los escenarios por datos nuevos y cambia la decisión solo si cambia la evidencia.</x:v>
      </x:c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</x:sheetData>
  <x:mergeCells>
    <x:mergeCell ref="A1:V1"/>
    <x:mergeCell ref="A2:V2"/>
    <x:mergeCell ref="A11:V11"/>
    <x:mergeCell ref="B12:V12"/>
    <x:mergeCell ref="B13:V13"/>
    <x:mergeCell ref="B14:V14"/>
    <x:mergeCell ref="B15:V15"/>
  </x:mergeCells>
  <x:conditionalFormatting sqref="Q5:Q8">
    <x:cfRule type="cellIs" dxfId="2" priority="1" operator="greaterThanOrEqual">
      <x:formula>0.2</x:formula>
    </x:cfRule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16b8b2077248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9" hidden="0" customWidth="1"/>
    <x:col min="4" max="4" width="27" hidden="0" customWidth="1"/>
    <x:col min="5" max="5" width="15" hidden="0" customWidth="1"/>
    <x:col min="6" max="6" width="10" hidden="0" customWidth="1"/>
    <x:col min="7" max="7" width="13" hidden="0" customWidth="1"/>
    <x:col min="8" max="8" width="15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4" hidden="0" customWidth="1"/>
    <x:col min="14" max="14" width="15" hidden="0" customWidth="1"/>
    <x:col min="15" max="15" width="13" hidden="0" customWidth="1"/>
    <x:col min="16" max="16" width="66" hidden="0" customWidth="1"/>
    <x:col min="17" max="17" width="14" hidden="0" customWidth="1"/>
    <x:col min="18" max="18" width="24" hidden="0" customWidth="1"/>
    <x:col min="19" max="19" width="34" hidden="0" customWidth="1"/>
  </x:cols>
  <x:sheetData>
    <x:row r="1" ht="19.200000762939453" hidden="0" customHeight="1">
      <x:c r="A1" s="34" t="str">
        <x:v>Ranking Lynch — potencial relativo de 10-bagger</x:v>
      </x:c>
      <x:c r="B1" s="34" t="str">
        <x:v>Ranking Lynch — potencial relativo de 10-bagger</x:v>
      </x:c>
      <x:c r="C1" s="34" t="str">
        <x:v>Ranking Lynch — potencial relativo de 10-bagger</x:v>
      </x:c>
      <x:c r="D1" s="34" t="str">
        <x:v>Ranking Lynch — potencial relativo de 10-bagger</x:v>
      </x:c>
      <x:c r="E1" s="34" t="str">
        <x:v>Ranking Lynch — potencial relativo de 10-bagger</x:v>
      </x:c>
      <x:c r="F1" s="34" t="str">
        <x:v>Ranking Lynch — potencial relativo de 10-bagger</x:v>
      </x:c>
      <x:c r="G1" s="34" t="str">
        <x:v>Ranking Lynch — potencial relativo de 10-bagger</x:v>
      </x:c>
      <x:c r="H1" s="34" t="str">
        <x:v>Ranking Lynch — potencial relativo de 10-bagger</x:v>
      </x:c>
      <x:c r="I1" s="34" t="str">
        <x:v>Ranking Lynch — potencial relativo de 10-bagger</x:v>
      </x:c>
      <x:c r="J1" s="34" t="str">
        <x:v>Ranking Lynch — potencial relativo de 10-bagger</x:v>
      </x:c>
      <x:c r="K1" s="34" t="str">
        <x:v>Ranking Lynch — potencial relativo de 10-bagger</x:v>
      </x:c>
      <x:c r="L1" s="34" t="str">
        <x:v>Ranking Lynch — potencial relativo de 10-bagger</x:v>
      </x:c>
      <x:c r="M1" s="34" t="str">
        <x:v>Ranking Lynch — potencial relativo de 10-bagger</x:v>
      </x:c>
      <x:c r="N1" s="34" t="str">
        <x:v>Ranking Lynch — potencial relativo de 10-bagger</x:v>
      </x:c>
      <x:c r="O1" s="34" t="str">
        <x:v>Ranking Lynch — potencial relativo de 10-bagger</x:v>
      </x:c>
      <x:c r="P1" s="34" t="str">
        <x:v>Ranking Lynch — potencial relativo de 10-bagger</x:v>
      </x:c>
      <x:c r="Q1" s="34" t="str">
        <x:v>Ranking Lynch — potencial relativo de 10-bagger</x:v>
      </x:c>
      <x:c r="R1" s="34" t="str">
        <x:v>Ranking Lynch — potencial relativo de 10-bagger</x:v>
      </x:c>
      <x:c r="S1" s="34" t="str">
        <x:v>Ranking Lynch — potencial relativo de 10-bagger</x:v>
      </x:c>
    </x:row>
    <x:row r="2" ht="15" hidden="0" customHeight="1">
      <x:c r="A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B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C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D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E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F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G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H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I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J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K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L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M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N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O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P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Q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R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  <x:c r="S2" s="8" t="str">
        <x:v>Ranking relativo dentro de esta watchlist, con base de datos al 2026-08-04. No es una probabilidad estadística ni una recomendación: mide cuánto runway, crecimiento, valoración, caja, tamaño y catalizadores reúne cada tesis.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</x:row>
    <x:row r="4" ht="36" hidden="0" customHeight="1">
      <x:c r="A4" s="20" t="str">
        <x:v>Orden</x:v>
      </x:c>
      <x:c r="B4" s="20" t="str">
        <x:v>Empresa</x:v>
      </x:c>
      <x:c r="C4" s="20" t="str">
        <x:v>Ticker</x:v>
      </x:c>
      <x:c r="D4" s="20" t="str">
        <x:v>Tipo Lynch</x:v>
      </x:c>
      <x:c r="E4" s="20" t="str">
        <x:v>Capitalización (m)</x:v>
      </x:c>
      <x:c r="F4" s="20" t="str">
        <x:v>PER</x:v>
      </x:c>
      <x:c r="G4" s="20" t="str">
        <x:v>Score Lynch /16</x:v>
      </x:c>
      <x:c r="H4" s="20" t="str">
        <x:v>Crecimiento / runway (0-5)</x:v>
      </x:c>
      <x:c r="I4" s="20" t="str">
        <x:v>Valoración (0-5)</x:v>
      </x:c>
      <x:c r="J4" s="20" t="str">
        <x:v>Balance / caja (0-4)</x:v>
      </x:c>
      <x:c r="K4" s="20" t="str">
        <x:v>Tamaño / escala (0-4)</x:v>
      </x:c>
      <x:c r="L4" s="20" t="str">
        <x:v>Catalizador / palanca (0-4)</x:v>
      </x:c>
      <x:c r="M4" s="20" t="str">
        <x:v>Score 10Bagger /22</x:v>
      </x:c>
      <x:c r="N4" s="20" t="str">
        <x:v>Capitalización x10 (m)</x:v>
      </x:c>
      <x:c r="O4" s="20" t="str">
        <x:v>Rating relativo</x:v>
      </x:c>
      <x:c r="P4" s="20" t="str">
        <x:v>Motivo principal / freno</x:v>
      </x:c>
      <x:c r="Q4" s="20" t="str">
        <x:v>Próxima revisión</x:v>
      </x:c>
      <x:c r="R4" s="20" t="str">
        <x:v>Fuentes</x:v>
      </x:c>
      <x:c r="S4" s="20" t="str">
        <x:v>Veredicto actual</x:v>
      </x:c>
    </x:row>
    <x:row r="5" ht="211.1999969482422" hidden="0" customHeight="1">
      <x:c r="A5" s="90" t="n">
        <x:f>COUNTIF($M$5:$M$26,"&gt;"&amp;M5)+COUNTIF($M$5:M5,M5)</x:f>
        <x:v>1</x:v>
      </x:c>
      <x:c r="B5" s="40" t="str">
        <x:f>'Watchlist'!A7</x:f>
        <x:v>eToro</x:v>
      </x:c>
      <x:c r="C5" s="40" t="str">
        <x:f>'Watchlist'!B7</x:f>
        <x:v>ETOR</x:v>
      </x:c>
      <x:c r="D5" s="40" t="str">
        <x:f>'Watchlist'!D7</x:f>
        <x:v>Nueva / alto crecimiento</x:v>
      </x:c>
      <x:c r="E5" s="91" t="n">
        <x:f>'Watchlist'!H7</x:f>
        <x:v>3010</x:v>
      </x:c>
      <x:c r="F5" s="92" t="n">
        <x:f>'Watchlist'!I7</x:f>
        <x:v>15.47</x:v>
      </x:c>
      <x:c r="G5" s="39" t="n">
        <x:f>'Checklist_Lynch'!L7</x:f>
        <x:v>12</x:v>
      </x:c>
      <x:c r="H5" s="93" t="n">
        <x:v>4</x:v>
      </x:c>
      <x:c r="I5" s="93" t="n">
        <x:v>4</x:v>
      </x:c>
      <x:c r="J5" s="93" t="n">
        <x:v>4</x:v>
      </x:c>
      <x:c r="K5" s="93" t="n">
        <x:v>3</x:v>
      </x:c>
      <x:c r="L5" s="93" t="n">
        <x:v>4</x:v>
      </x:c>
      <x:c r="M5" s="94" t="n">
        <x:f>SUM(H5:L5)</x:f>
        <x:v>19</x:v>
      </x:c>
      <x:c r="N5" s="95" t="n">
        <x:f>E5*10</x:f>
        <x:v>30100</x:v>
      </x:c>
      <x:c r="O5" s="28" t="str">
        <x:f>IF(M5&gt;=18,"Alta",IF(M5&gt;=16,"Media-alta",IF(M5&gt;=14,"Media","Baja")))</x:f>
        <x:v>Alta</x:v>
      </x:c>
      <x:c r="P5" s="58" t="str">
        <x:v>Plataforma con crecimiento de net contribution/EBITDA, caja y recompra; freno: sensibilidad cripto/trading, dual class e historial corto.</x:v>
      </x:c>
      <x:c r="Q5" s="96" t="n">
        <x:f>'Seguimiento'!D7</x:f>
        <x:v>46245</x:v>
      </x:c>
      <x:c r="R5" s="40" t="str">
        <x:f>'Watchlist'!Y7&amp;" / "&amp;'Watchlist'!Z7</x:f>
        <x:v>ETOR-MKT / ETOR-Q1-26</x:v>
      </x:c>
      <x:c r="S5" s="40" t="str">
        <x:f>'Watchlist'!V7</x:f>
        <x:v>Vigilar / posible entrada pequeña</x:v>
      </x:c>
    </x:row>
    <x:row r="6" ht="184.8000030517578" hidden="0" customHeight="1">
      <x:c r="A6" s="90" t="n">
        <x:f>COUNTIF($M$5:$M$26,"&gt;"&amp;M6)+COUNTIF($M$5:M6,M6)</x:f>
        <x:v>2</x:v>
      </x:c>
      <x:c r="B6" s="40" t="str">
        <x:f>'Watchlist'!A15</x:f>
        <x:v>Kainos Group</x:v>
      </x:c>
      <x:c r="C6" s="40" t="str">
        <x:f>'Watchlist'!B15</x:f>
        <x:v>KNOS</x:v>
      </x:c>
      <x:c r="D6" s="40" t="str">
        <x:f>'Watchlist'!D15</x:f>
        <x:v>Crecimiento / nicho</x:v>
      </x:c>
      <x:c r="E6" s="91" t="n">
        <x:f>'Watchlist'!H15</x:f>
        <x:v>945.42</x:v>
      </x:c>
      <x:c r="F6" s="92" t="n">
        <x:f>'Watchlist'!I15</x:f>
        <x:v>23.1</x:v>
      </x:c>
      <x:c r="G6" s="39" t="n">
        <x:f>'Checklist_Lynch'!L15</x:f>
        <x:v>13</x:v>
      </x:c>
      <x:c r="H6" s="93" t="n">
        <x:v>4</x:v>
      </x:c>
      <x:c r="I6" s="93" t="n">
        <x:v>3</x:v>
      </x:c>
      <x:c r="J6" s="93" t="n">
        <x:v>4</x:v>
      </x:c>
      <x:c r="K6" s="93" t="n">
        <x:v>4</x:v>
      </x:c>
      <x:c r="L6" s="93" t="n">
        <x:v>3</x:v>
      </x:c>
      <x:c r="M6" s="94" t="n">
        <x:f>SUM(H6:L6)</x:f>
        <x:v>18</x:v>
      </x:c>
      <x:c r="N6" s="95" t="n">
        <x:f>E6*10</x:f>
        <x:v>9454.199999999999</x:v>
      </x:c>
      <x:c r="O6" s="28" t="str">
        <x:f>IF(M6&gt;=18,"Alta",IF(M6&gt;=16,"Media-alta",IF(M6&gt;=14,"Media","Baja")))</x:f>
        <x:v>Alta</x:v>
      </x:c>
      <x:c r="P6" s="58" t="str">
        <x:v>Nicho Workday con ARR +23%, bookings +32%, backlog +18% y caja neta; freno: concentración y PER todavía exigente.</x:v>
      </x:c>
      <x:c r="Q6" s="96" t="n">
        <x:f>'Seguimiento'!D15</x:f>
        <x:v>46272</x:v>
      </x:c>
      <x:c r="R6" s="40" t="str">
        <x:f>'Watchlist'!Y15&amp;" / "&amp;'Watchlist'!Z15</x:f>
        <x:v>KNOS-MKT / KNOS-FY26</x:v>
      </x:c>
      <x:c r="S6" s="40" t="str">
        <x:f>'Watchlist'!V15</x:f>
        <x:v>Vigilar / posible entrada pequeña</x:v>
      </x:c>
    </x:row>
    <x:row r="7" ht="171.60000610351562" hidden="0" customHeight="1">
      <x:c r="A7" s="90" t="n">
        <x:f>COUNTIF($M$5:$M$26,"&gt;"&amp;M7)+COUNTIF($M$5:M7,M7)</x:f>
        <x:v>3</x:v>
      </x:c>
      <x:c r="B7" s="40" t="str">
        <x:f>'Watchlist'!A5</x:f>
        <x:v>Atalaya Mining</x:v>
      </x:c>
      <x:c r="C7" s="40" t="str">
        <x:f>'Watchlist'!B5</x:f>
        <x:v>ATYM</x:v>
      </x:c>
      <x:c r="D7" s="40" t="str">
        <x:f>'Watchlist'!D5</x:f>
        <x:v>Existente / cíclica</x:v>
      </x:c>
      <x:c r="E7" s="91" t="n">
        <x:f>'Watchlist'!H5</x:f>
        <x:v>1410</x:v>
      </x:c>
      <x:c r="F7" s="92" t="n">
        <x:f>'Watchlist'!I5</x:f>
        <x:v>17.29</x:v>
      </x:c>
      <x:c r="G7" s="39" t="n">
        <x:f>'Checklist_Lynch'!L5</x:f>
        <x:v>11</x:v>
      </x:c>
      <x:c r="H7" s="93" t="n">
        <x:v>4</x:v>
      </x:c>
      <x:c r="I7" s="93" t="n">
        <x:v>3</x:v>
      </x:c>
      <x:c r="J7" s="93" t="n">
        <x:v>4</x:v>
      </x:c>
      <x:c r="K7" s="93" t="n">
        <x:v>4</x:v>
      </x:c>
      <x:c r="L7" s="93" t="n">
        <x:v>3</x:v>
      </x:c>
      <x:c r="M7" s="94" t="n">
        <x:f>SUM(H7:L7)</x:f>
        <x:v>18</x:v>
      </x:c>
      <x:c r="N7" s="95" t="n">
        <x:f>E7*10</x:f>
        <x:v>14100</x:v>
      </x:c>
      <x:c r="O7" s="28" t="str">
        <x:f>IF(M7&gt;=18,"Alta",IF(M7&gt;=16,"Media-alta",IF(M7&gt;=14,"Media","Baja")))</x:f>
        <x:v>Alta</x:v>
      </x:c>
      <x:c r="P7" s="58" t="str">
        <x:v>Cobre, beneficio +171% y caja neta con opcionalidad Touro; freno: una mina, commodity y ejecución/capex.</x:v>
      </x:c>
      <x:c r="Q7" s="96" t="n">
        <x:f>'Seguimiento'!D5</x:f>
        <x:v>46328</x:v>
      </x:c>
      <x:c r="R7" s="40" t="str">
        <x:f>'Watchlist'!Y5&amp;" / "&amp;'Watchlist'!Z5</x:f>
        <x:v>ATYM-MKT / ATYM-FY25</x:v>
      </x:c>
      <x:c r="S7" s="40" t="str">
        <x:f>'Watchlist'!V5</x:f>
        <x:v>Esperar / vigilar</x:v>
      </x:c>
    </x:row>
    <x:row r="8" ht="184.8000030517578" hidden="0" customHeight="1">
      <x:c r="A8" s="90" t="n">
        <x:f>COUNTIF($M$5:$M$26,"&gt;"&amp;M8)+COUNTIF($M$5:M8,M8)</x:f>
        <x:v>4</x:v>
      </x:c>
      <x:c r="B8" s="40" t="str">
        <x:f>'Watchlist'!A26</x:f>
        <x:v>Jet2</x:v>
      </x:c>
      <x:c r="C8" s="40" t="str">
        <x:f>'Watchlist'!B26</x:f>
        <x:v>JET2</x:v>
      </x:c>
      <x:c r="D8" s="40" t="str">
        <x:f>'Watchlist'!D26</x:f>
        <x:v>Cíclica / crecimiento</x:v>
      </x:c>
      <x:c r="E8" s="91" t="n">
        <x:f>'Watchlist'!H26</x:f>
        <x:v>2780</x:v>
      </x:c>
      <x:c r="F8" s="92" t="n">
        <x:f>'Watchlist'!I26</x:f>
        <x:v>7.291667</x:v>
      </x:c>
      <x:c r="G8" s="39" t="n">
        <x:f>'Checklist_Lynch'!L26</x:f>
        <x:v>14</x:v>
      </x:c>
      <x:c r="H8" s="93" t="n">
        <x:v>3</x:v>
      </x:c>
      <x:c r="I8" s="93" t="n">
        <x:v>5</x:v>
      </x:c>
      <x:c r="J8" s="93" t="n">
        <x:v>4</x:v>
      </x:c>
      <x:c r="K8" s="93" t="n">
        <x:v>3</x:v>
      </x:c>
      <x:c r="L8" s="93" t="n">
        <x:v>2</x:v>
      </x:c>
      <x:c r="M8" s="94" t="n">
        <x:f>SUM(H8:L8)</x:f>
        <x:v>17</x:v>
      </x:c>
      <x:c r="N8" s="95" t="n">
        <x:f>E8*10</x:f>
        <x:v>27800</x:v>
      </x:c>
      <x:c r="O8" s="28" t="str">
        <x:f>IF(M8&gt;=18,"Alta",IF(M8&gt;=16,"Media-alta",IF(M8&gt;=14,"Media","Baja")))</x:f>
        <x:v>Media-alta</x:v>
      </x:c>
      <x:c r="P8" s="58" t="str">
        <x:v>PER 7.3x, caja neta £2.0bn y capacidad creciendo; freno: aerolínea/turoperador muy cíclico y margen sensible a combustible/divisa.</x:v>
      </x:c>
      <x:c r="Q8" s="96" t="n">
        <x:f>'Seguimiento'!D26</x:f>
        <x:v>46343</x:v>
      </x:c>
      <x:c r="R8" s="40" t="str">
        <x:f>'Watchlist'!Y26&amp;" / "&amp;'Watchlist'!Z26</x:f>
        <x:v>JET2-MKT / JET2-FY26</x:v>
      </x:c>
      <x:c r="S8" s="40" t="str">
        <x:f>'Watchlist'!V26</x:f>
        <x:v>Compra escalonada solo con margen</x:v>
      </x:c>
    </x:row>
    <x:row r="9" ht="211.1999969482422" hidden="0" customHeight="1">
      <x:c r="A9" s="90" t="n">
        <x:f>COUNTIF($M$5:$M$26,"&gt;"&amp;M9)+COUNTIF($M$5:M9,M9)</x:f>
        <x:v>5</x:v>
      </x:c>
      <x:c r="B9" s="40" t="str">
        <x:f>'Watchlist'!A8</x:f>
        <x:v>HBX Group</x:v>
      </x:c>
      <x:c r="C9" s="40" t="str">
        <x:f>'Watchlist'!B8</x:f>
        <x:v>HBX</x:v>
      </x:c>
      <x:c r="D9" s="40" t="str">
        <x:f>'Watchlist'!D8</x:f>
        <x:v>Nueva / crecimiento-cíclica</x:v>
      </x:c>
      <x:c r="E9" s="91" t="n">
        <x:f>'Watchlist'!H8</x:f>
        <x:v>1860</x:v>
      </x:c>
      <x:c r="F9" s="92" t="n">
        <x:f>'Watchlist'!I8</x:f>
        <x:v>10.21</x:v>
      </x:c>
      <x:c r="G9" s="39" t="n">
        <x:f>'Checklist_Lynch'!L8</x:f>
        <x:v>12</x:v>
      </x:c>
      <x:c r="H9" s="93" t="n">
        <x:v>4</x:v>
      </x:c>
      <x:c r="I9" s="93" t="n">
        <x:v>4</x:v>
      </x:c>
      <x:c r="J9" s="93" t="n">
        <x:v>1</x:v>
      </x:c>
      <x:c r="K9" s="93" t="n">
        <x:v>4</x:v>
      </x:c>
      <x:c r="L9" s="93" t="n">
        <x:v>4</x:v>
      </x:c>
      <x:c r="M9" s="94" t="n">
        <x:f>SUM(H9:L9)</x:f>
        <x:v>17</x:v>
      </x:c>
      <x:c r="N9" s="95" t="n">
        <x:f>E9*10</x:f>
        <x:v>18600</x:v>
      </x:c>
      <x:c r="O9" s="28" t="str">
        <x:f>IF(M9&gt;=18,"Alta",IF(M9&gt;=16,"Media-alta",IF(M9&gt;=14,"Media","Baja")))</x:f>
        <x:v>Media-alta</x:v>
      </x:c>
      <x:c r="P9" s="58" t="str">
        <x:v>TTV +17% en moneda constante, recompra y descuento frente a IPO; freno: deuda, guía recortada y transición directiva.</x:v>
      </x:c>
      <x:c r="Q9" s="96" t="n">
        <x:f>'Seguimiento'!D8</x:f>
        <x:v>46351</x:v>
      </x:c>
      <x:c r="R9" s="40" t="str">
        <x:f>'Watchlist'!Y8&amp;" / "&amp;'Watchlist'!Z8</x:f>
        <x:v>HBX-MKT / HBX-H1-26</x:v>
      </x:c>
      <x:c r="S9" s="40" t="str">
        <x:f>'Watchlist'!V8</x:f>
        <x:v>Vigilar / oportunidad con margen</x:v>
      </x:c>
    </x:row>
    <x:row r="10" ht="171.60000610351562" hidden="0" customHeight="1">
      <x:c r="A10" s="90" t="n">
        <x:f>COUNTIF($M$5:$M$26,"&gt;"&amp;M10)+COUNTIF($M$5:M10,M10)</x:f>
        <x:v>6</x:v>
      </x:c>
      <x:c r="B10" s="40" t="str">
        <x:f>'Watchlist'!A16</x:f>
        <x:v>Plus500</x:v>
      </x:c>
      <x:c r="C10" s="40" t="str">
        <x:f>'Watchlist'!B16</x:f>
        <x:v>PLUS</x:v>
      </x:c>
      <x:c r="D10" s="40" t="str">
        <x:f>'Watchlist'!D16</x:f>
        <x:v>Madura / cíclica</x:v>
      </x:c>
      <x:c r="E10" s="91" t="n">
        <x:f>'Watchlist'!H16</x:f>
        <x:v>2580</x:v>
      </x:c>
      <x:c r="F10" s="92" t="n">
        <x:f>'Watchlist'!I16</x:f>
        <x:v>12.83602</x:v>
      </x:c>
      <x:c r="G10" s="39" t="n">
        <x:f>'Checklist_Lynch'!L16</x:f>
        <x:v>14</x:v>
      </x:c>
      <x:c r="H10" s="93" t="n">
        <x:v>3</x:v>
      </x:c>
      <x:c r="I10" s="93" t="n">
        <x:v>4</x:v>
      </x:c>
      <x:c r="J10" s="93" t="n">
        <x:v>4</x:v>
      </x:c>
      <x:c r="K10" s="93" t="n">
        <x:v>3</x:v>
      </x:c>
      <x:c r="L10" s="93" t="n">
        <x:v>2</x:v>
      </x:c>
      <x:c r="M10" s="94" t="n">
        <x:f>SUM(H10:L10)</x:f>
        <x:v>16</x:v>
      </x:c>
      <x:c r="N10" s="95" t="n">
        <x:f>E10*10</x:f>
        <x:v>25800</x:v>
      </x:c>
      <x:c r="O10" s="28" t="str">
        <x:f>IF(M10&gt;=18,"Alta",IF(M10&gt;=16,"Media-alta",IF(M10&gt;=14,"Media","Baja")))</x:f>
        <x:v>Media-alta</x:v>
      </x:c>
      <x:c r="P10" s="58" t="str">
        <x:v>Caja &gt;£850m, PER 12.8x y retorno de capital; freno: EBITDA casi plano, clientes a la baja y regulación/ciclicidad.</x:v>
      </x:c>
      <x:c r="Q10" s="96" t="n">
        <x:f>'Seguimiento'!D16</x:f>
        <x:v>46244</x:v>
      </x:c>
      <x:c r="R10" s="40" t="str">
        <x:f>'Watchlist'!Y16&amp;" / "&amp;'Watchlist'!Z16</x:f>
        <x:v>PLUS-MKT / PLUS-H1-26</x:v>
      </x:c>
      <x:c r="S10" s="40" t="str">
        <x:f>'Watchlist'!V16</x:f>
        <x:v>Oportunidad especulativa / esperar H1</x:v>
      </x:c>
    </x:row>
    <x:row r="11" ht="198" hidden="0" customHeight="1">
      <x:c r="A11" s="90" t="n">
        <x:f>COUNTIF($M$5:$M$26,"&gt;"&amp;M11)+COUNTIF($M$5:M11,M11)</x:f>
        <x:v>7</x:v>
      </x:c>
      <x:c r="B11" s="40" t="str">
        <x:f>'Watchlist'!A21</x:f>
        <x:v>Domino's Pizza Group</x:v>
      </x:c>
      <x:c r="C11" s="40" t="str">
        <x:f>'Watchlist'!B21</x:f>
        <x:v>DOM</x:v>
      </x:c>
      <x:c r="D11" s="40" t="str">
        <x:f>'Watchlist'!D21</x:f>
        <x:v>Madura / recuperable</x:v>
      </x:c>
      <x:c r="E11" s="91" t="n">
        <x:f>'Watchlist'!H21</x:f>
        <x:v>768.41</x:v>
      </x:c>
      <x:c r="F11" s="92" t="n">
        <x:f>'Watchlist'!I21</x:f>
        <x:v>13.35099</x:v>
      </x:c>
      <x:c r="G11" s="39" t="n">
        <x:f>'Checklist_Lynch'!L21</x:f>
        <x:v>11</x:v>
      </x:c>
      <x:c r="H11" s="93" t="n">
        <x:v>2</x:v>
      </x:c>
      <x:c r="I11" s="93" t="n">
        <x:v>4</x:v>
      </x:c>
      <x:c r="J11" s="93" t="n">
        <x:v>2</x:v>
      </x:c>
      <x:c r="K11" s="93" t="n">
        <x:v>4</x:v>
      </x:c>
      <x:c r="L11" s="93" t="n">
        <x:v>4</x:v>
      </x:c>
      <x:c r="M11" s="94" t="n">
        <x:f>SUM(H11:L11)</x:f>
        <x:v>16</x:v>
      </x:c>
      <x:c r="N11" s="95" t="n">
        <x:f>E11*10</x:f>
        <x:v>7684.099999999999</x:v>
      </x:c>
      <x:c r="O11" s="28" t="str">
        <x:f>IF(M11&gt;=18,"Alta",IF(M11&gt;=16,"Media-alta",IF(M11&gt;=14,"Media","Baja")))</x:f>
        <x:v>Media-alta</x:v>
      </x:c>
      <x:c r="P11" s="58" t="str">
        <x:v>Marca/franquicia comprensible, yield 5.5% y activismo que puede forzar recompras; freno: EBITDA/PBT FY25 descendentes.</x:v>
      </x:c>
      <x:c r="Q11" s="96" t="n">
        <x:f>'Seguimiento'!D21</x:f>
        <x:v>46239</x:v>
      </x:c>
      <x:c r="R11" s="40" t="str">
        <x:f>'Watchlist'!Y21&amp;" / "&amp;'Watchlist'!Z21</x:f>
        <x:v>DOM-MKT / DOM-FY25</x:v>
      </x:c>
      <x:c r="S11" s="40" t="str">
        <x:f>'Watchlist'!V21</x:f>
        <x:v>Esperar resultados / turnaround condicional</x:v>
      </x:c>
    </x:row>
    <x:row r="12" ht="198" hidden="0" customHeight="1">
      <x:c r="A12" s="90" t="n">
        <x:f>COUNTIF($M$5:$M$26,"&gt;"&amp;M12)+COUNTIF($M$5:M12,M12)</x:f>
        <x:v>8</x:v>
      </x:c>
      <x:c r="B12" s="40" t="str">
        <x:f>'Watchlist'!A17</x:f>
        <x:v>Rightmove</x:v>
      </x:c>
      <x:c r="C12" s="40" t="str">
        <x:f>'Watchlist'!B17</x:f>
        <x:v>RMV</x:v>
      </x:c>
      <x:c r="D12" s="40" t="str">
        <x:f>'Watchlist'!D17</x:f>
        <x:v>Calidad / marketplace</x:v>
      </x:c>
      <x:c r="E12" s="91" t="n">
        <x:f>'Watchlist'!H17</x:f>
        <x:v>3520</x:v>
      </x:c>
      <x:c r="F12" s="92" t="n">
        <x:f>'Watchlist'!I17</x:f>
        <x:v>16.8968</x:v>
      </x:c>
      <x:c r="G12" s="39" t="n">
        <x:f>'Checklist_Lynch'!L17</x:f>
        <x:v>13</x:v>
      </x:c>
      <x:c r="H12" s="93" t="n">
        <x:v>3</x:v>
      </x:c>
      <x:c r="I12" s="93" t="n">
        <x:v>3</x:v>
      </x:c>
      <x:c r="J12" s="93" t="n">
        <x:v>4</x:v>
      </x:c>
      <x:c r="K12" s="93" t="n">
        <x:v>3</x:v>
      </x:c>
      <x:c r="L12" s="93" t="n">
        <x:v>3</x:v>
      </x:c>
      <x:c r="M12" s="94" t="n">
        <x:f>SUM(H12:L12)</x:f>
        <x:v>16</x:v>
      </x:c>
      <x:c r="N12" s="95" t="n">
        <x:f>E12*10</x:f>
        <x:v>35200</x:v>
      </x:c>
      <x:c r="O12" s="28" t="str">
        <x:f>IF(M12&gt;=18,"Alta",IF(M12&gt;=16,"Media-alta",IF(M12&gt;=14,"Media","Baja")))</x:f>
        <x:v>Media-alta</x:v>
      </x:c>
      <x:c r="P12" s="58" t="str">
        <x:v>Marketplace con red, guía de ingresos +8–10% y áreas estratégicas; freno: £3.5bn de capitalización, regulación y margen ya alto.</x:v>
      </x:c>
      <x:c r="Q12" s="96" t="n">
        <x:f>'Seguimiento'!D17</x:f>
        <x:v>46265</x:v>
      </x:c>
      <x:c r="R12" s="40" t="str">
        <x:f>'Watchlist'!Y17&amp;" / "&amp;'Watchlist'!Z17</x:f>
        <x:v>RMV-MKT / RMV-FY25</x:v>
      </x:c>
      <x:c r="S12" s="40" t="str">
        <x:f>'Watchlist'!V17</x:f>
        <x:v>Esperar / calidad, no perseguir precio</x:v>
      </x:c>
    </x:row>
    <x:row r="13" ht="211.1999969482422" hidden="0" customHeight="1">
      <x:c r="A13" s="90" t="n">
        <x:f>COUNTIF($M$5:$M$26,"&gt;"&amp;M13)+COUNTIF($M$5:M13,M13)</x:f>
        <x:v>9</x:v>
      </x:c>
      <x:c r="B13" s="40" t="str">
        <x:f>'Watchlist'!A25</x:f>
        <x:v>4imprint Group</x:v>
      </x:c>
      <x:c r="C13" s="40" t="str">
        <x:f>'Watchlist'!B25</x:f>
        <x:v>FOUR</x:v>
      </x:c>
      <x:c r="D13" s="40" t="str">
        <x:f>'Watchlist'!D25</x:f>
        <x:v>Madura / calidad con descuento</x:v>
      </x:c>
      <x:c r="E13" s="91" t="n">
        <x:f>'Watchlist'!H25</x:f>
        <x:v>1230</x:v>
      </x:c>
      <x:c r="F13" s="92" t="n">
        <x:f>'Watchlist'!I25</x:f>
        <x:v>14.61869</x:v>
      </x:c>
      <x:c r="G13" s="39" t="n">
        <x:f>'Checklist_Lynch'!L25</x:f>
        <x:v>13</x:v>
      </x:c>
      <x:c r="H13" s="93" t="n">
        <x:v>2</x:v>
      </x:c>
      <x:c r="I13" s="93" t="n">
        <x:v>3</x:v>
      </x:c>
      <x:c r="J13" s="93" t="n">
        <x:v>4</x:v>
      </x:c>
      <x:c r="K13" s="93" t="n">
        <x:v>4</x:v>
      </x:c>
      <x:c r="L13" s="93" t="n">
        <x:v>3</x:v>
      </x:c>
      <x:c r="M13" s="94" t="n">
        <x:f>SUM(H13:L13)</x:f>
        <x:v>16</x:v>
      </x:c>
      <x:c r="N13" s="95" t="n">
        <x:f>E13*10</x:f>
        <x:v>12300</x:v>
      </x:c>
      <x:c r="O13" s="28" t="str">
        <x:f>IF(M13&gt;=18,"Alta",IF(M13&gt;=16,"Media-alta",IF(M13&gt;=14,"Media","Baja")))</x:f>
        <x:v>Media-alta</x:v>
      </x:c>
      <x:c r="P13" s="58" t="str">
        <x:v>Empresa pequeña, caja y retención de clientes existentes; freno: pedidos nuevos -12% y H1 debe demostrar que el bache es temporal.</x:v>
      </x:c>
      <x:c r="Q13" s="96" t="n">
        <x:f>'Seguimiento'!D25</x:f>
        <x:v>46239</x:v>
      </x:c>
      <x:c r="R13" s="40" t="str">
        <x:f>'Watchlist'!Y25&amp;" / "&amp;'Watchlist'!Z25</x:f>
        <x:v>FOUR-MKT / FOUR-FY25</x:v>
      </x:c>
      <x:c r="S13" s="40" t="str">
        <x:f>'Watchlist'!V25</x:f>
        <x:v>Esperar H1 / no perseguir precio</x:v>
      </x:c>
    </x:row>
    <x:row r="14" ht="171.60000610351562" hidden="0" customHeight="1">
      <x:c r="A14" s="90" t="n">
        <x:f>COUNTIF($M$5:$M$26,"&gt;"&amp;M14)+COUNTIF($M$5:M14,M14)</x:f>
        <x:v>10</x:v>
      </x:c>
      <x:c r="B14" s="40" t="str">
        <x:f>'Watchlist'!A22</x:f>
        <x:v>Bellway</x:v>
      </x:c>
      <x:c r="C14" s="40" t="str">
        <x:f>'Watchlist'!B22</x:f>
        <x:v>BWY</x:v>
      </x:c>
      <x:c r="D14" s="40" t="str">
        <x:f>'Watchlist'!D22</x:f>
        <x:v>Existente / cíclica</x:v>
      </x:c>
      <x:c r="E14" s="91" t="n">
        <x:f>'Watchlist'!H22</x:f>
        <x:v>2240</x:v>
      </x:c>
      <x:c r="F14" s="92" t="n">
        <x:f>'Watchlist'!I22</x:f>
        <x:v>14.72892</x:v>
      </x:c>
      <x:c r="G14" s="39" t="n">
        <x:f>'Checklist_Lynch'!L22</x:f>
        <x:v>12</x:v>
      </x:c>
      <x:c r="H14" s="93" t="n">
        <x:v>3</x:v>
      </x:c>
      <x:c r="I14" s="93" t="n">
        <x:v>4</x:v>
      </x:c>
      <x:c r="J14" s="93" t="n">
        <x:v>3</x:v>
      </x:c>
      <x:c r="K14" s="93" t="n">
        <x:v>3</x:v>
      </x:c>
      <x:c r="L14" s="93" t="n">
        <x:v>3</x:v>
      </x:c>
      <x:c r="M14" s="94" t="n">
        <x:f>SUM(H14:L14)</x:f>
        <x:v>16</x:v>
      </x:c>
      <x:c r="N14" s="95" t="n">
        <x:f>E14*10</x:f>
        <x:v>22400</x:v>
      </x:c>
      <x:c r="O14" s="28" t="str">
        <x:f>IF(M14&gt;=18,"Alta",IF(M14&gt;=16,"Media-alta",IF(M14&gt;=14,"Media","Baja")))</x:f>
        <x:v>Media-alta</x:v>
      </x:c>
      <x:c r="P14" s="58" t="str">
        <x:v>Orderbook £1.57bn, guía de beneficio +17% y valoración razonable; freno: normalización de vivienda y margen cíclico.</x:v>
      </x:c>
      <x:c r="Q14" s="96" t="n">
        <x:f>'Seguimiento'!D22</x:f>
        <x:v>46245</x:v>
      </x:c>
      <x:c r="R14" s="40" t="str">
        <x:f>'Watchlist'!Y22&amp;" / "&amp;'Watchlist'!Z22</x:f>
        <x:v>BWY-MKT / BWY-TRD</x:v>
      </x:c>
      <x:c r="S14" s="40" t="str">
        <x:f>'Watchlist'!V22</x:f>
        <x:v>Vigilar / oportunidad cíclica</x:v>
      </x:c>
    </x:row>
    <x:row r="15" ht="171.60000610351562" hidden="0" customHeight="1">
      <x:c r="A15" s="90" t="n">
        <x:f>COUNTIF($M$5:$M$26,"&gt;"&amp;M15)+COUNTIF($M$5:M15,M15)</x:f>
        <x:v>11</x:v>
      </x:c>
      <x:c r="B15" s="40" t="str">
        <x:f>'Watchlist'!A9</x:f>
        <x:v>Figma</x:v>
      </x:c>
      <x:c r="C15" s="40" t="str">
        <x:f>'Watchlist'!B9</x:f>
        <x:v>FIG</x:v>
      </x:c>
      <x:c r="D15" s="40" t="str">
        <x:f>'Watchlist'!D9</x:f>
        <x:v>Nueva / alto crecimiento</x:v>
      </x:c>
      <x:c r="E15" s="91" t="n">
        <x:f>'Watchlist'!H9</x:f>
        <x:v>14270</x:v>
      </x:c>
      <x:c r="F15" s="92" t="n">
        <x:f>'Watchlist'!I9</x:f>
        <x:v>-6.78</x:v>
      </x:c>
      <x:c r="G15" s="39" t="n">
        <x:f>'Checklist_Lynch'!L9</x:f>
        <x:v>10</x:v>
      </x:c>
      <x:c r="H15" s="93" t="n">
        <x:v>5</x:v>
      </x:c>
      <x:c r="I15" s="93" t="n">
        <x:v>1</x:v>
      </x:c>
      <x:c r="J15" s="93" t="n">
        <x:v>4</x:v>
      </x:c>
      <x:c r="K15" s="93" t="n">
        <x:v>1</x:v>
      </x:c>
      <x:c r="L15" s="93" t="n">
        <x:v>4</x:v>
      </x:c>
      <x:c r="M15" s="94" t="n">
        <x:f>SUM(H15:L15)</x:f>
        <x:v>15</x:v>
      </x:c>
      <x:c r="N15" s="95" t="n">
        <x:f>E15*10</x:f>
        <x:v>142700</x:v>
      </x:c>
      <x:c r="O15" s="28" t="str">
        <x:f>IF(M15&gt;=18,"Alta",IF(M15&gt;=16,"Media-alta",IF(M15&gt;=14,"Media","Baja")))</x:f>
        <x:v>Media</x:v>
      </x:c>
      <x:c r="P15" s="58" t="str">
        <x:v>Ingresos +41%, NDR alto y FCF; freno decisivo: capitalización $14.3bn, pérdida GAAP, SBC/dilución y ~10x ventas.</x:v>
      </x:c>
      <x:c r="Q15" s="96" t="n">
        <x:f>'Seguimiento'!D9</x:f>
        <x:v>46239</x:v>
      </x:c>
      <x:c r="R15" s="40" t="str">
        <x:f>'Watchlist'!Y9&amp;" / "&amp;'Watchlist'!Z9</x:f>
        <x:v>FIG-MKT / FIG-Q1-26</x:v>
      </x:c>
      <x:c r="S15" s="40" t="str">
        <x:f>'Watchlist'!V9</x:f>
        <x:v>Esperar / no comprar antes de resultados</x:v>
      </x:c>
    </x:row>
    <x:row r="16" ht="158.39999389648438" hidden="0" customHeight="1">
      <x:c r="A16" s="90" t="n">
        <x:f>COUNTIF($M$5:$M$26,"&gt;"&amp;M16)+COUNTIF($M$5:M16,M16)</x:f>
        <x:v>12</x:v>
      </x:c>
      <x:c r="B16" s="40" t="str">
        <x:f>'Watchlist'!A10</x:f>
        <x:v>JD Sports Fashion</x:v>
      </x:c>
      <x:c r="C16" s="40" t="str">
        <x:f>'Watchlist'!B10</x:f>
        <x:v>JD.</x:v>
      </x:c>
      <x:c r="D16" s="40" t="str">
        <x:f>'Watchlist'!D10</x:f>
        <x:v>Madura / crecimiento</x:v>
      </x:c>
      <x:c r="E16" s="91" t="n">
        <x:f>'Watchlist'!H10</x:f>
        <x:v>4120</x:v>
      </x:c>
      <x:c r="F16" s="92" t="n">
        <x:f>'Watchlist'!I10</x:f>
        <x:v>9.986</x:v>
      </x:c>
      <x:c r="G16" s="39" t="n">
        <x:f>'Checklist_Lynch'!L10</x:f>
        <x:v>11</x:v>
      </x:c>
      <x:c r="H16" s="93" t="n">
        <x:v>3</x:v>
      </x:c>
      <x:c r="I16" s="93" t="n">
        <x:v>4</x:v>
      </x:c>
      <x:c r="J16" s="93" t="n">
        <x:v>2</x:v>
      </x:c>
      <x:c r="K16" s="93" t="n">
        <x:v>3</x:v>
      </x:c>
      <x:c r="L16" s="93" t="n">
        <x:v>3</x:v>
      </x:c>
      <x:c r="M16" s="94" t="n">
        <x:f>SUM(H16:L16)</x:f>
        <x:v>15</x:v>
      </x:c>
      <x:c r="N16" s="95" t="n">
        <x:f>E16*10</x:f>
        <x:v>41200</x:v>
      </x:c>
      <x:c r="O16" s="28" t="str">
        <x:f>IF(M16&gt;=18,"Alta",IF(M16&gt;=16,"Media-alta",IF(M16&gt;=14,"Media","Baja")))</x:f>
        <x:v>Media</x:v>
      </x:c>
      <x:c r="P16" s="58" t="str">
        <x:v>Ventas +10.5%, FCF +36%, recompra y PER 10x; freno: beneficio operativo -5.4%, inventario, EE. UU. y divisa.</x:v>
      </x:c>
      <x:c r="Q16" s="96" t="n">
        <x:f>'Seguimiento'!D10</x:f>
        <x:v>46254</x:v>
      </x:c>
      <x:c r="R16" s="40" t="str">
        <x:f>'Watchlist'!Y10&amp;" / "&amp;'Watchlist'!Z10</x:f>
        <x:v>JD-MKT / JD-FY26</x:v>
      </x:c>
      <x:c r="S16" s="40" t="str">
        <x:f>'Watchlist'!V10</x:f>
        <x:v>Oportunidad condicional / vigilar márgenes</x:v>
      </x:c>
    </x:row>
    <x:row r="17" ht="171.60000610351562" hidden="0" customHeight="1">
      <x:c r="A17" s="90" t="n">
        <x:f>COUNTIF($M$5:$M$26,"&gt;"&amp;M17)+COUNTIF($M$5:M17,M17)</x:f>
        <x:v>13</x:v>
      </x:c>
      <x:c r="B17" s="40" t="str">
        <x:f>'Watchlist'!A23</x:f>
        <x:v>Babcock International</x:v>
      </x:c>
      <x:c r="C17" s="40" t="str">
        <x:f>'Watchlist'!B23</x:f>
        <x:v>BAB</x:v>
      </x:c>
      <x:c r="D17" s="40" t="str">
        <x:f>'Watchlist'!D23</x:f>
        <x:v>Defensa / turnaround</x:v>
      </x:c>
      <x:c r="E17" s="91" t="n">
        <x:f>'Watchlist'!H23</x:f>
        <x:v>5510</x:v>
      </x:c>
      <x:c r="F17" s="92" t="n">
        <x:f>'Watchlist'!I23</x:f>
        <x:v>18.52893</x:v>
      </x:c>
      <x:c r="G17" s="39" t="n">
        <x:f>'Checklist_Lynch'!L23</x:f>
        <x:v>13</x:v>
      </x:c>
      <x:c r="H17" s="93" t="n">
        <x:v>3</x:v>
      </x:c>
      <x:c r="I17" s="93" t="n">
        <x:v>3</x:v>
      </x:c>
      <x:c r="J17" s="93" t="n">
        <x:v>4</x:v>
      </x:c>
      <x:c r="K17" s="93" t="n">
        <x:v>2</x:v>
      </x:c>
      <x:c r="L17" s="93" t="n">
        <x:v>3</x:v>
      </x:c>
      <x:c r="M17" s="94" t="n">
        <x:f>SUM(H17:L17)</x:f>
        <x:v>15</x:v>
      </x:c>
      <x:c r="N17" s="95" t="n">
        <x:f>E17*10</x:f>
        <x:v>55100</x:v>
      </x:c>
      <x:c r="O17" s="28" t="str">
        <x:f>IF(M17&gt;=18,"Alta",IF(M17&gt;=16,"Media-alta",IF(M17&gt;=14,"Media","Baja")))</x:f>
        <x:v>Media</x:v>
      </x:c>
      <x:c r="P17" s="58" t="str">
        <x:v>Backlog £9.8bn, FCF +£109m y caja neta; freno: ejecución contractual y cargo Type 31 reducen la pureza de la historia.</x:v>
      </x:c>
      <x:c r="Q17" s="96" t="n">
        <x:f>'Seguimiento'!D23</x:f>
        <x:v>46346</x:v>
      </x:c>
      <x:c r="R17" s="40" t="str">
        <x:f>'Watchlist'!Y23&amp;" / "&amp;'Watchlist'!Z23</x:f>
        <x:v>BAB-MKT / BAB-FY26</x:v>
      </x:c>
      <x:c r="S17" s="40" t="str">
        <x:f>'Watchlist'!V23</x:f>
        <x:v>Vigilar / recuperación con caja</x:v>
      </x:c>
    </x:row>
    <x:row r="18" ht="184.8000030517578" hidden="0" customHeight="1">
      <x:c r="A18" s="90" t="n">
        <x:f>COUNTIF($M$5:$M$26,"&gt;"&amp;M18)+COUNTIF($M$5:M18,M18)</x:f>
        <x:v>14</x:v>
      </x:c>
      <x:c r="B18" s="40" t="str">
        <x:f>'Watchlist'!A24</x:f>
        <x:v>Oxford Instruments</x:v>
      </x:c>
      <x:c r="C18" s="40" t="str">
        <x:f>'Watchlist'!B24</x:f>
        <x:v>OXIG</x:v>
      </x:c>
      <x:c r="D18" s="40" t="str">
        <x:f>'Watchlist'!D24</x:f>
        <x:v>Nicho / tecnología</x:v>
      </x:c>
      <x:c r="E18" s="91" t="n">
        <x:f>'Watchlist'!H24</x:f>
        <x:v>1570</x:v>
      </x:c>
      <x:c r="F18" s="92" t="n">
        <x:f>'Watchlist'!I24</x:f>
        <x:v>33.806</x:v>
      </x:c>
      <x:c r="G18" s="39" t="n">
        <x:f>'Checklist_Lynch'!L24</x:f>
        <x:v>12</x:v>
      </x:c>
      <x:c r="H18" s="93" t="n">
        <x:v>3</x:v>
      </x:c>
      <x:c r="I18" s="93" t="n">
        <x:v>1</x:v>
      </x:c>
      <x:c r="J18" s="93" t="n">
        <x:v>4</x:v>
      </x:c>
      <x:c r="K18" s="93" t="n">
        <x:v>4</x:v>
      </x:c>
      <x:c r="L18" s="93" t="n">
        <x:v>3</x:v>
      </x:c>
      <x:c r="M18" s="94" t="n">
        <x:f>SUM(H18:L18)</x:f>
        <x:v>15</x:v>
      </x:c>
      <x:c r="N18" s="95" t="n">
        <x:f>E18*10</x:f>
        <x:v>15700</x:v>
      </x:c>
      <x:c r="O18" s="28" t="str">
        <x:f>IF(M18&gt;=18,"Alta",IF(M18&gt;=16,"Media-alta",IF(M18&gt;=14,"Media","Baja")))</x:f>
        <x:v>Media</x:v>
      </x:c>
      <x:c r="P18" s="58" t="str">
        <x:v>Nicho científico, caja neta y book-to-bill 1.067; freno: ingresos/margen bajan y PER 33.8x espera la recuperación.</x:v>
      </x:c>
      <x:c r="Q18" s="96" t="n">
        <x:f>'Seguimiento'!D24</x:f>
        <x:v>46338</x:v>
      </x:c>
      <x:c r="R18" s="40" t="str">
        <x:f>'Watchlist'!Y24&amp;" / "&amp;'Watchlist'!Z24</x:f>
        <x:v>OXIG-MKT / OXIG-FY26</x:v>
      </x:c>
      <x:c r="S18" s="40" t="str">
        <x:f>'Watchlist'!V24</x:f>
        <x:v>Vigilar / esperar conversión de pedidos</x:v>
      </x:c>
    </x:row>
    <x:row r="19" ht="171.60000610351562" hidden="0" customHeight="1">
      <x:c r="A19" s="90" t="n">
        <x:f>COUNTIF($M$5:$M$26,"&gt;"&amp;M19)+COUNTIF($M$5:M19,M19)</x:f>
        <x:v>15</x:v>
      </x:c>
      <x:c r="B19" s="40" t="str">
        <x:f>'Watchlist'!A13</x:f>
        <x:v>Auto Trader</x:v>
      </x:c>
      <x:c r="C19" s="40" t="str">
        <x:f>'Watchlist'!B13</x:f>
        <x:v>AUTO</x:v>
      </x:c>
      <x:c r="D19" s="40" t="str">
        <x:f>'Watchlist'!D13</x:f>
        <x:v>Madura / crecimiento</x:v>
      </x:c>
      <x:c r="E19" s="91" t="n">
        <x:f>'Watchlist'!H13</x:f>
        <x:v>4170</x:v>
      </x:c>
      <x:c r="F19" s="92" t="n">
        <x:f>'Watchlist'!I13</x:f>
        <x:v>15.58092</x:v>
      </x:c>
      <x:c r="G19" s="39" t="n">
        <x:f>'Checklist_Lynch'!L13</x:f>
        <x:v>13</x:v>
      </x:c>
      <x:c r="H19" s="93" t="n">
        <x:v>3</x:v>
      </x:c>
      <x:c r="I19" s="93" t="n">
        <x:v>4</x:v>
      </x:c>
      <x:c r="J19" s="93" t="n">
        <x:v>2</x:v>
      </x:c>
      <x:c r="K19" s="93" t="n">
        <x:v>3</x:v>
      </x:c>
      <x:c r="L19" s="93" t="n">
        <x:v>3</x:v>
      </x:c>
      <x:c r="M19" s="94" t="n">
        <x:f>SUM(H19:L19)</x:f>
        <x:v>15</x:v>
      </x:c>
      <x:c r="N19" s="95" t="n">
        <x:f>E19*10</x:f>
        <x:v>41700</x:v>
      </x:c>
      <x:c r="O19" s="28" t="str">
        <x:f>IF(M19&gt;=18,"Alta",IF(M19&gt;=16,"Media-alta",IF(M19&gt;=14,"Media","Baja")))</x:f>
        <x:v>Media</x:v>
      </x:c>
      <x:c r="P19" s="58" t="str">
        <x:v>Marketplace dominante, margen 63% y PER 15.6x; freno: crecimiento solo 4%, Deal Builder y deuda nueva.</x:v>
      </x:c>
      <x:c r="Q19" s="96" t="n">
        <x:f>'Seguimiento'!D13</x:f>
        <x:v>46331</x:v>
      </x:c>
      <x:c r="R19" s="40" t="str">
        <x:f>'Watchlist'!Y13&amp;" / "&amp;'Watchlist'!Z13</x:f>
        <x:v>AUTO-MKT / AUTO-FY26</x:v>
      </x:c>
      <x:c r="S19" s="40" t="str">
        <x:f>'Watchlist'!V13</x:f>
        <x:v>Oportunidad condicional / vigilar Deal Builder</x:v>
      </x:c>
    </x:row>
    <x:row r="20" ht="184.8000030517578" hidden="0" customHeight="1">
      <x:c r="A20" s="90" t="n">
        <x:f>COUNTIF($M$5:$M$26,"&gt;"&amp;M20)+COUNTIF($M$5:M20,M20)</x:f>
        <x:v>16</x:v>
      </x:c>
      <x:c r="B20" s="40" t="str">
        <x:f>'Watchlist'!A12</x:f>
        <x:v>Wise</x:v>
      </x:c>
      <x:c r="C20" s="40" t="str">
        <x:f>'Watchlist'!B12</x:f>
        <x:v>WISE</x:v>
      </x:c>
      <x:c r="D20" s="40" t="str">
        <x:f>'Watchlist'!D12</x:f>
        <x:v>Alto crecimiento / calidad</x:v>
      </x:c>
      <x:c r="E20" s="91" t="n">
        <x:f>'Watchlist'!H12</x:f>
        <x:v>8940</x:v>
      </x:c>
      <x:c r="F20" s="92" t="n">
        <x:f>'Watchlist'!I12</x:f>
        <x:v>24.38446</x:v>
      </x:c>
      <x:c r="G20" s="39" t="n">
        <x:f>'Checklist_Lynch'!L12</x:f>
        <x:v>12</x:v>
      </x:c>
      <x:c r="H20" s="93" t="n">
        <x:v>4</x:v>
      </x:c>
      <x:c r="I20" s="93" t="n">
        <x:v>1</x:v>
      </x:c>
      <x:c r="J20" s="93" t="n">
        <x:v>4</x:v>
      </x:c>
      <x:c r="K20" s="93" t="n">
        <x:v>2</x:v>
      </x:c>
      <x:c r="L20" s="93" t="n">
        <x:v>3</x:v>
      </x:c>
      <x:c r="M20" s="94" t="n">
        <x:f>SUM(H20:L20)</x:f>
        <x:v>14</x:v>
      </x:c>
      <x:c r="N20" s="95" t="n">
        <x:f>E20*10</x:f>
        <x:v>89400</x:v>
      </x:c>
      <x:c r="O20" s="28" t="str">
        <x:f>IF(M20&gt;=18,"Alta",IF(M20&gt;=16,"Media-alta",IF(M20&gt;=14,"Media","Baja")))</x:f>
        <x:v>Media</x:v>
      </x:c>
      <x:c r="P20" s="58" t="str">
        <x:v>Volumen/net revenue crecen y el modelo escala; freno: PER 24.4x, take rate/tipos y capitalización £8.9bn.</x:v>
      </x:c>
      <x:c r="Q20" s="96" t="n">
        <x:f>'Seguimiento'!D12</x:f>
        <x:v>46310</x:v>
      </x:c>
      <x:c r="R20" s="40" t="str">
        <x:f>'Watchlist'!Y12&amp;" / "&amp;'Watchlist'!Z12</x:f>
        <x:v>WISE-MKT / WISE-Q1-27</x:v>
      </x:c>
      <x:c r="S20" s="40" t="str">
        <x:f>'Watchlist'!V12</x:f>
        <x:v>Vigilar / crecimiento con precio exigente</x:v>
      </x:c>
    </x:row>
    <x:row r="21" ht="211.1999969482422" hidden="0" customHeight="1">
      <x:c r="A21" s="90" t="n">
        <x:f>COUNTIF($M$5:$M$26,"&gt;"&amp;M21)+COUNTIF($M$5:M21,M21)</x:f>
        <x:v>17</x:v>
      </x:c>
      <x:c r="B21" s="40" t="str">
        <x:f>'Watchlist'!A19</x:f>
        <x:v>Computacenter</x:v>
      </x:c>
      <x:c r="C21" s="40" t="str">
        <x:f>'Watchlist'!B19</x:f>
        <x:v>CCC</x:v>
      </x:c>
      <x:c r="D21" s="40" t="str">
        <x:f>'Watchlist'!D19</x:f>
        <x:v>Crecimiento / servicios IT</x:v>
      </x:c>
      <x:c r="E21" s="91" t="n">
        <x:f>'Watchlist'!H19</x:f>
        <x:v>5060</x:v>
      </x:c>
      <x:c r="F21" s="92" t="n">
        <x:f>'Watchlist'!I19</x:f>
        <x:v>32.887</x:v>
      </x:c>
      <x:c r="G21" s="39" t="n">
        <x:f>'Checklist_Lynch'!L19</x:f>
        <x:v>12</x:v>
      </x:c>
      <x:c r="H21" s="93" t="n">
        <x:v>4</x:v>
      </x:c>
      <x:c r="I21" s="93" t="n">
        <x:v>1</x:v>
      </x:c>
      <x:c r="J21" s="93" t="n">
        <x:v>4</x:v>
      </x:c>
      <x:c r="K21" s="93" t="n">
        <x:v>2</x:v>
      </x:c>
      <x:c r="L21" s="93" t="n">
        <x:v>3</x:v>
      </x:c>
      <x:c r="M21" s="94" t="n">
        <x:f>SUM(H21:L21)</x:f>
        <x:v>14</x:v>
      </x:c>
      <x:c r="N21" s="95" t="n">
        <x:f>E21*10</x:f>
        <x:v>50600</x:v>
      </x:c>
      <x:c r="O21" s="28" t="str">
        <x:f>IF(M21&gt;=18,"Alta",IF(M21&gt;=16,"Media-alta",IF(M21&gt;=14,"Media","Baja")))</x:f>
        <x:v>Media</x:v>
      </x:c>
      <x:c r="P21" s="58" t="str">
        <x:v>Ingresos FY25 +32% y caja neta; freno: PER 32.9x y margen bruto/Managed Services cuestionan la calidad del crecimiento.</x:v>
      </x:c>
      <x:c r="Q21" s="96" t="n">
        <x:f>'Seguimiento'!D19</x:f>
        <x:v>46273</x:v>
      </x:c>
      <x:c r="R21" s="40" t="str">
        <x:f>'Watchlist'!Y19&amp;" / "&amp;'Watchlist'!Z19</x:f>
        <x:v>CCC-MKT / CCC-Q1-26</x:v>
      </x:c>
      <x:c r="S21" s="40" t="str">
        <x:f>'Watchlist'!V19</x:f>
        <x:v>Vigilar / crecimiento con riesgo de margen</x:v>
      </x:c>
    </x:row>
    <x:row r="22" ht="211.1999969482422" hidden="0" customHeight="1">
      <x:c r="A22" s="90" t="n">
        <x:f>COUNTIF($M$5:$M$26,"&gt;"&amp;M22)+COUNTIF($M$5:M22,M22)</x:f>
        <x:v>18</x:v>
      </x:c>
      <x:c r="B22" s="40" t="str">
        <x:f>'Watchlist'!A20</x:f>
        <x:v>Howdens Joinery</x:v>
      </x:c>
      <x:c r="C22" s="40" t="str">
        <x:f>'Watchlist'!B20</x:f>
        <x:v>HWDN</x:v>
      </x:c>
      <x:c r="D22" s="40" t="str">
        <x:f>'Watchlist'!D20</x:f>
        <x:v>Calidad / cíclica</x:v>
      </x:c>
      <x:c r="E22" s="91" t="n">
        <x:f>'Watchlist'!H20</x:f>
        <x:v>4500</x:v>
      </x:c>
      <x:c r="F22" s="92" t="n">
        <x:f>'Watchlist'!I20</x:f>
        <x:v>16.69715</x:v>
      </x:c>
      <x:c r="G22" s="39" t="n">
        <x:f>'Checklist_Lynch'!L20</x:f>
        <x:v>13</x:v>
      </x:c>
      <x:c r="H22" s="93" t="n">
        <x:v>2</x:v>
      </x:c>
      <x:c r="I22" s="93" t="n">
        <x:v>3</x:v>
      </x:c>
      <x:c r="J22" s="93" t="n">
        <x:v>3</x:v>
      </x:c>
      <x:c r="K22" s="93" t="n">
        <x:v>2</x:v>
      </x:c>
      <x:c r="L22" s="93" t="n">
        <x:v>3</x:v>
      </x:c>
      <x:c r="M22" s="94" t="n">
        <x:f>SUM(H22:L22)</x:f>
        <x:v>13</x:v>
      </x:c>
      <x:c r="N22" s="95" t="n">
        <x:f>E22*10</x:f>
        <x:v>45000</x:v>
      </x:c>
      <x:c r="O22" s="28" t="str">
        <x:f>IF(M22&gt;=18,"Alta",IF(M22&gt;=16,"Media-alta",IF(M22&gt;=14,"Media","Baja")))</x:f>
        <x:v>Baja</x:v>
      </x:c>
      <x:c r="P22" s="58" t="str">
        <x:v>Modelo trade-only, margen bruto 62.8% y EBIT +5.5%; freno: vivienda/remodelación, tamaño y crecimiento moderado.</x:v>
      </x:c>
      <x:c r="Q22" s="96" t="n">
        <x:f>'Seguimiento'!D20</x:f>
        <x:v>46331</x:v>
      </x:c>
      <x:c r="R22" s="40" t="str">
        <x:f>'Watchlist'!Y20&amp;" / "&amp;'Watchlist'!Z20</x:f>
        <x:v>HWDN-MKT / HWDN-H1-26</x:v>
      </x:c>
      <x:c r="S22" s="40" t="str">
        <x:f>'Watchlist'!V20</x:f>
        <x:v>Vigilar / solo con margen</x:v>
      </x:c>
    </x:row>
    <x:row r="23" ht="171.60000610351562" hidden="0" customHeight="1">
      <x:c r="A23" s="90" t="n">
        <x:f>COUNTIF($M$5:$M$26,"&gt;"&amp;M23)+COUNTIF($M$5:M23,M23)</x:f>
        <x:v>19</x:v>
      </x:c>
      <x:c r="B23" s="40" t="str">
        <x:f>'Watchlist'!A18</x:f>
        <x:v>Games Workshop</x:v>
      </x:c>
      <x:c r="C23" s="40" t="str">
        <x:f>'Watchlist'!B18</x:f>
        <x:v>GAW</x:v>
      </x:c>
      <x:c r="D23" s="40" t="str">
        <x:f>'Watchlist'!D18</x:f>
        <x:v>Calidad / IP y nicho</x:v>
      </x:c>
      <x:c r="E23" s="91" t="n">
        <x:f>'Watchlist'!H18</x:f>
        <x:v>6590</x:v>
      </x:c>
      <x:c r="F23" s="92" t="n">
        <x:f>'Watchlist'!I18</x:f>
        <x:v>33.518</x:v>
      </x:c>
      <x:c r="G23" s="39" t="n">
        <x:f>'Checklist_Lynch'!L18</x:f>
        <x:v>13</x:v>
      </x:c>
      <x:c r="H23" s="93" t="n">
        <x:v>3</x:v>
      </x:c>
      <x:c r="I23" s="93" t="n">
        <x:v>1</x:v>
      </x:c>
      <x:c r="J23" s="93" t="n">
        <x:v>4</x:v>
      </x:c>
      <x:c r="K23" s="93" t="n">
        <x:v>2</x:v>
      </x:c>
      <x:c r="L23" s="93" t="n">
        <x:v>3</x:v>
      </x:c>
      <x:c r="M23" s="94" t="n">
        <x:f>SUM(H23:L23)</x:f>
        <x:v>13</x:v>
      </x:c>
      <x:c r="N23" s="95" t="n">
        <x:f>E23*10</x:f>
        <x:v>65900</x:v>
      </x:c>
      <x:c r="O23" s="28" t="str">
        <x:f>IF(M23&gt;=18,"Alta",IF(M23&gt;=16,"Media-alta",IF(M23&gt;=14,"Media","Baja")))</x:f>
        <x:v>Baja</x:v>
      </x:c>
      <x:c r="P23" s="58" t="str">
        <x:v>IP Warhammer, sin deuda y caja/dividendos; freno: PER 33.5x y capitalización £6.6bn limitan el 10x.</x:v>
      </x:c>
      <x:c r="Q23" s="96" t="n">
        <x:f>'Seguimiento'!D18</x:f>
        <x:v>46331</x:v>
      </x:c>
      <x:c r="R23" s="40" t="str">
        <x:f>'Watchlist'!Y18&amp;" / "&amp;'Watchlist'!Z18</x:f>
        <x:v>GAW-MKT / GAW-FY26</x:v>
      </x:c>
      <x:c r="S23" s="40" t="str">
        <x:f>'Watchlist'!V18</x:f>
        <x:v>Vigilar / negocio excelente, precio exigente</x:v>
      </x:c>
    </x:row>
    <x:row r="24" ht="171.60000610351562" hidden="0" customHeight="1">
      <x:c r="A24" s="90" t="n">
        <x:f>COUNTIF($M$5:$M$26,"&gt;"&amp;M24)+COUNTIF($M$5:M24,M24)</x:f>
        <x:v>20</x:v>
      </x:c>
      <x:c r="B24" s="40" t="str">
        <x:f>'Watchlist'!A11</x:f>
        <x:v>PayPal</x:v>
      </x:c>
      <x:c r="C24" s="40" t="str">
        <x:f>'Watchlist'!B11</x:f>
        <x:v>PYPL</x:v>
      </x:c>
      <x:c r="D24" s="40" t="str">
        <x:f>'Watchlist'!D11</x:f>
        <x:v>Madura / recuperable</x:v>
      </x:c>
      <x:c r="E24" s="91" t="n">
        <x:f>'Watchlist'!H11</x:f>
        <x:v>51451</x:v>
      </x:c>
      <x:c r="F24" s="92" t="n">
        <x:f>'Watchlist'!I11</x:f>
        <x:v>11.027</x:v>
      </x:c>
      <x:c r="G24" s="39" t="n">
        <x:f>'Checklist_Lynch'!L11</x:f>
        <x:v>11</x:v>
      </x:c>
      <x:c r="H24" s="93" t="n">
        <x:v>2</x:v>
      </x:c>
      <x:c r="I24" s="93" t="n">
        <x:v>4</x:v>
      </x:c>
      <x:c r="J24" s="93" t="n">
        <x:v>3</x:v>
      </x:c>
      <x:c r="K24" s="93" t="n">
        <x:v>1</x:v>
      </x:c>
      <x:c r="L24" s="93" t="n">
        <x:v>2</x:v>
      </x:c>
      <x:c r="M24" s="94" t="n">
        <x:f>SUM(H24:L24)</x:f>
        <x:v>12</x:v>
      </x:c>
      <x:c r="N24" s="95" t="n">
        <x:f>E24*10</x:f>
        <x:v>514510</x:v>
      </x:c>
      <x:c r="O24" s="28" t="str">
        <x:f>IF(M24&gt;=18,"Alta",IF(M24&gt;=16,"Media-alta",IF(M24&gt;=14,"Media","Baja")))</x:f>
        <x:v>Baja</x:v>
      </x:c>
      <x:c r="P24" s="58" t="str">
        <x:v>PER 11x, FCF y recompras; freno: $51bn de capitalización, cuentas activas planas y branded checkout solo +2%.</x:v>
      </x:c>
      <x:c r="Q24" s="96" t="n">
        <x:f>'Seguimiento'!D11</x:f>
        <x:v>46331</x:v>
      </x:c>
      <x:c r="R24" s="40" t="str">
        <x:f>'Watchlist'!Y11&amp;" / "&amp;'Watchlist'!Z11</x:f>
        <x:v>PYPL-MKT / PYPL-Q1-26</x:v>
      </x:c>
      <x:c r="S24" s="40" t="str">
        <x:f>'Watchlist'!V11</x:f>
        <x:v>Oportunidad especulativa / vigilar ejecución</x:v>
      </x:c>
    </x:row>
    <x:row r="25" ht="184.8000030517578" hidden="0" customHeight="1">
      <x:c r="A25" s="90" t="n">
        <x:f>COUNTIF($M$5:$M$26,"&gt;"&amp;M25)+COUNTIF($M$5:M25,M25)</x:f>
        <x:v>21</x:v>
      </x:c>
      <x:c r="B25" s="40" t="str">
        <x:f>'Watchlist'!A14</x:f>
        <x:v>B&amp;M European Value Retail</x:v>
      </x:c>
      <x:c r="C25" s="40" t="str">
        <x:f>'Watchlist'!B14</x:f>
        <x:v>BME</x:v>
      </x:c>
      <x:c r="D25" s="40" t="str">
        <x:f>'Watchlist'!D14</x:f>
        <x:v>Recuperable / cíclica</x:v>
      </x:c>
      <x:c r="E25" s="91" t="n">
        <x:f>'Watchlist'!H14</x:f>
        <x:v>2230</x:v>
      </x:c>
      <x:c r="F25" s="92" t="n">
        <x:f>'Watchlist'!I14</x:f>
        <x:v>13.85</x:v>
      </x:c>
      <x:c r="G25" s="39" t="n">
        <x:f>'Checklist_Lynch'!L14</x:f>
        <x:v>12</x:v>
      </x:c>
      <x:c r="H25" s="93" t="n">
        <x:v>2</x:v>
      </x:c>
      <x:c r="I25" s="93" t="n">
        <x:v>3</x:v>
      </x:c>
      <x:c r="J25" s="93" t="n">
        <x:v>1</x:v>
      </x:c>
      <x:c r="K25" s="93" t="n">
        <x:v>3</x:v>
      </x:c>
      <x:c r="L25" s="93" t="n">
        <x:v>3</x:v>
      </x:c>
      <x:c r="M25" s="94" t="n">
        <x:f>SUM(H25:L25)</x:f>
        <x:v>12</x:v>
      </x:c>
      <x:c r="N25" s="95" t="n">
        <x:f>E25*10</x:f>
        <x:v>22300</x:v>
      </x:c>
      <x:c r="O25" s="28" t="str">
        <x:f>IF(M25&gt;=18,"Alta",IF(M25&gt;=16,"Media-alta",IF(M25&gt;=14,"Media","Baja")))</x:f>
        <x:v>Baja</x:v>
      </x:c>
      <x:c r="P25" s="58" t="str">
        <x:v>Turnaround de margen y tiendas con dividendo; freno: beneficio -26%, LFL UK negativo y deuda neta £656m.</x:v>
      </x:c>
      <x:c r="Q25" s="96" t="n">
        <x:f>'Seguimiento'!D14</x:f>
        <x:v>46338</x:v>
      </x:c>
      <x:c r="R25" s="40" t="str">
        <x:f>'Watchlist'!Y14&amp;" / "&amp;'Watchlist'!Z14</x:f>
        <x:v>BME-MKT / BME-Q1-27</x:v>
      </x:c>
      <x:c r="S25" s="40" t="str">
        <x:f>'Watchlist'!V14</x:f>
        <x:v>Oportunidad de turnaround / esperar confirmación</x:v>
      </x:c>
    </x:row>
    <x:row r="26" ht="184.8000030517578" hidden="0" customHeight="1">
      <x:c r="A26" s="90" t="n">
        <x:f>COUNTIF($M$5:$M$26,"&gt;"&amp;M26)+COUNTIF($M$5:M26,M26)</x:f>
        <x:v>22</x:v>
      </x:c>
      <x:c r="B26" s="40" t="str">
        <x:f>'Watchlist'!A6</x:f>
        <x:v>Rio Tinto</x:v>
      </x:c>
      <x:c r="C26" s="40" t="str">
        <x:f>'Watchlist'!B6</x:f>
        <x:v>RIO</x:v>
      </x:c>
      <x:c r="D26" s="40" t="str">
        <x:f>'Watchlist'!D6</x:f>
        <x:v>Existente / cíclica</x:v>
      </x:c>
      <x:c r="E26" s="91" t="n">
        <x:f>'Watchlist'!H6</x:f>
        <x:v>118930</x:v>
      </x:c>
      <x:c r="F26" s="92" t="n">
        <x:f>'Watchlist'!I6</x:f>
        <x:v>16.05</x:v>
      </x:c>
      <x:c r="G26" s="39" t="n">
        <x:f>'Checklist_Lynch'!L6</x:f>
        <x:v>14</x:v>
      </x:c>
      <x:c r="H26" s="93" t="n">
        <x:v>1</x:v>
      </x:c>
      <x:c r="I26" s="93" t="n">
        <x:v>3</x:v>
      </x:c>
      <x:c r="J26" s="93" t="n">
        <x:v>2</x:v>
      </x:c>
      <x:c r="K26" s="93" t="n">
        <x:v>0</x:v>
      </x:c>
      <x:c r="L26" s="93" t="n">
        <x:v>2</x:v>
      </x:c>
      <x:c r="M26" s="94" t="n">
        <x:f>SUM(H26:L26)</x:f>
        <x:v>8</x:v>
      </x:c>
      <x:c r="N26" s="95" t="n">
        <x:f>E26*10</x:f>
        <x:v>1189300</x:v>
      </x:c>
      <x:c r="O26" s="28" t="str">
        <x:f>IF(M26&gt;=18,"Alta",IF(M26&gt;=16,"Media-alta",IF(M26&gt;=14,"Media","Baja")))</x:f>
        <x:v>Baja</x:v>
      </x:c>
      <x:c r="P26" s="58" t="str">
        <x:v>Cobre/dividendo y escala defensiva; freno decisivo: capitalización ~$119bn hace extremadamente improbable un 10x.</x:v>
      </x:c>
      <x:c r="Q26" s="96" t="n">
        <x:f>'Seguimiento'!D6</x:f>
        <x:v>46328</x:v>
      </x:c>
      <x:c r="R26" s="40" t="str">
        <x:f>'Watchlist'!Y6&amp;" / "&amp;'Watchlist'!Z6</x:f>
        <x:v>RIO-MKT / RIO-H1-26</x:v>
      </x:c>
      <x:c r="S26" s="40" t="str">
        <x:f>'Watchlist'!V6</x:f>
        <x:v>Compra escalonada / vigilar precio</x:v>
      </x:c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</x:row>
    <x:row r="29" ht="15" hidden="0" customHeight="1">
      <x:c r="A29" s="36" t="str">
        <x:v>Cómo leer el ranking</x:v>
      </x:c>
      <x:c r="B29" s="36" t="str">
        <x:v>Cómo leer el ranking</x:v>
      </x:c>
      <x:c r="C29" s="36" t="str">
        <x:v>Cómo leer el ranking</x:v>
      </x:c>
      <x:c r="D29" s="36" t="str">
        <x:v>Cómo leer el ranking</x:v>
      </x:c>
      <x:c r="E29" s="36" t="str">
        <x:v>Cómo leer el ranking</x:v>
      </x:c>
      <x:c r="F29" s="36" t="str">
        <x:v>Cómo leer el ranking</x:v>
      </x:c>
      <x:c r="G29" s="36" t="str">
        <x:v>Cómo leer el ranking</x:v>
      </x:c>
      <x:c r="H29" s="36" t="str">
        <x:v>Cómo leer el ranking</x:v>
      </x:c>
      <x:c r="I29" s="36" t="str">
        <x:v>Cómo leer el ranking</x:v>
      </x:c>
      <x:c r="J29" s="36" t="str">
        <x:v>Cómo leer el ranking</x:v>
      </x:c>
      <x:c r="K29" s="36" t="str">
        <x:v>Cómo leer el ranking</x:v>
      </x:c>
      <x:c r="L29" s="36" t="str">
        <x:v>Cómo leer el ranking</x:v>
      </x:c>
      <x:c r="M29" s="36" t="str">
        <x:v>Cómo leer el ranking</x:v>
      </x:c>
      <x:c r="N29" s="36" t="str">
        <x:v>Cómo leer el ranking</x:v>
      </x:c>
      <x:c r="O29" s="36" t="str">
        <x:v>Cómo leer el ranking</x:v>
      </x:c>
      <x:c r="P29" s="36" t="str">
        <x:v>Cómo leer el ranking</x:v>
      </x:c>
      <x:c r="Q29" s="36" t="str">
        <x:v>Cómo leer el ranking</x:v>
      </x:c>
      <x:c r="R29" s="36" t="str">
        <x:v>Cómo leer el ranking</x:v>
      </x:c>
      <x:c r="S29" s="36" t="str">
        <x:v>Cómo leer el ranking</x:v>
      </x:c>
    </x:row>
    <x:row r="30" ht="15" hidden="0" customHeight="1">
      <x:c r="A30" s="35" t="str">
        <x:v>Qué mide</x:v>
      </x:c>
      <x:c r="B30" s="33" t="str">
        <x:v>El score pondera la posibilidad relativa de que el negocio pueda multiplicar mucho desde su tamaño actual; no intenta convertir una hipótesis en una probabilidad matemática.</x:v>
      </x:c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</x:row>
    <x:row r="31" ht="15" hidden="0" customHeight="1">
      <x:c r="A31" s="35" t="str">
        <x:v>Runway</x:v>
      </x:c>
      <x:c r="B31" s="33" t="str">
        <x:v>Crecimiento visible, mercado direccionable, cuota y capacidad de reinversión. La calidad sin runway no basta para un 10-bagger.</x:v>
      </x:c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</x:row>
    <x:row r="32" ht="26.399999618530273" hidden="0" customHeight="1">
      <x:c r="A32" s="35" t="str">
        <x:v>Tamaño x10</x:v>
      </x:c>
      <x:c r="B32" s="33" t="str">
        <x:v>Capitalización actual ×10 para hacer tangible la barrera. Las divisas de la watchlist son mixtas: úsalo como orden de magnitud, no como comparación exacta.</x:v>
      </x:c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</x:row>
    <x:row r="33" ht="15" hidden="0" customHeight="1">
      <x:c r="A33" s="35" t="str">
        <x:v>Orden</x:v>
      </x:c>
      <x:c r="B33" s="33" t="str">
        <x:v>La columna Orden se recalcula si cambias H:L, pero las filas no se reordenan solas: ordena la tabla por Score 10Bagger descendente después de editar.</x:v>
      </x:c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</x:row>
    <x:row r="34" ht="26.399999618530273" hidden="0" customHeight="1">
      <x:c r="A34" s="35" t="str">
        <x:v>Disciplina Lynch</x:v>
      </x:c>
      <x:c r="B34" s="33" t="str">
        <x:v>Una puntuación alta exige todavía leer resultados, comprobar deuda/dilución y definir un precio de entrada con margen de seguridad.</x:v>
      </x:c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</x:row>
  </x:sheetData>
  <x:mergeCells>
    <x:mergeCell ref="A1:S1"/>
    <x:mergeCell ref="A2:S2"/>
    <x:mergeCell ref="A29:S29"/>
    <x:mergeCell ref="B30:S30"/>
    <x:mergeCell ref="B31:S31"/>
    <x:mergeCell ref="B32:S32"/>
    <x:mergeCell ref="B33:S33"/>
    <x:mergeCell ref="B34:S34"/>
  </x:mergeCells>
  <x:conditionalFormatting sqref="M5:M26">
    <x:cfRule type="cellIs" dxfId="4" priority="1" operator="greaterThanOrEqual">
      <x:formula>17</x:formula>
    </x:cfRule>
    <x:cfRule type="cellIs" dxfId="5" priority="2" operator="lessThan">
      <x:formula>13</x:formula>
    </x:cfRule>
  </x:conditionalFormatting>
  <x:conditionalFormatting sqref="O5:O26">
    <x:cfRule type="containsText" dxfId="6" priority="3" operator="containsText" text="Alta"/>
    <x:cfRule type="containsText" dxfId="7" priority="4" operator="containsText" text="Baja"/>
  </x:conditionalFormatting>
  <x:pageMargins left="0.7" right="0.7" top="0.75" bottom="0.75" header="0.3" footer="0.3"/>
  <x:tableParts count="1">
    <x:tablePart xmlns:r="http://schemas.openxmlformats.org/officeDocument/2006/relationships" r:id="R05f55f980a3746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9" hidden="0" customWidth="1"/>
    <x:col min="13" max="13" width="14" hidden="0" customWidth="1"/>
    <x:col min="14" max="14" width="48" hidden="0" customWidth="1"/>
    <x:col min="15" max="15" width="12" hidden="0" customWidth="1"/>
  </x:cols>
  <x:sheetData>
    <x:row r="1" ht="19.200000762939453" hidden="0" customHeight="1">
      <x:c r="A1" s="34" t="str">
        <x:v>Checklist tipo Peter Lynch</x:v>
      </x:c>
      <x:c r="B1" s="34" t="str">
        <x:v>Checklist tipo Peter Lynch</x:v>
      </x:c>
      <x:c r="C1" s="34" t="str">
        <x:v>Checklist tipo Peter Lynch</x:v>
      </x:c>
      <x:c r="D1" s="34" t="str">
        <x:v>Checklist tipo Peter Lynch</x:v>
      </x:c>
      <x:c r="E1" s="34" t="str">
        <x:v>Checklist tipo Peter Lynch</x:v>
      </x:c>
      <x:c r="F1" s="34" t="str">
        <x:v>Checklist tipo Peter Lynch</x:v>
      </x:c>
      <x:c r="G1" s="34" t="str">
        <x:v>Checklist tipo Peter Lynch</x:v>
      </x:c>
      <x:c r="H1" s="34" t="str">
        <x:v>Checklist tipo Peter Lynch</x:v>
      </x:c>
      <x:c r="I1" s="34" t="str">
        <x:v>Checklist tipo Peter Lynch</x:v>
      </x:c>
      <x:c r="J1" s="34" t="str">
        <x:v>Checklist tipo Peter Lynch</x:v>
      </x:c>
      <x:c r="K1" s="34" t="str">
        <x:v>Checklist tipo Peter Lynch</x:v>
      </x:c>
      <x:c r="L1" s="34" t="str">
        <x:v>Checklist tipo Peter Lynch</x:v>
      </x:c>
      <x:c r="M1" s="34" t="str">
        <x:v>Checklist tipo Peter Lynch</x:v>
      </x:c>
      <x:c r="N1" s="34" t="str">
        <x:v>Checklist tipo Peter Lynch</x:v>
      </x:c>
      <x:c r="O1" s="34" t="str">
        <x:v>Checklist tipo Peter Lynch</x:v>
      </x:c>
    </x:row>
    <x:row r="2" ht="15" hidden="0" customHeight="1">
      <x:c r="A2" s="8" t="str">
        <x:v>Puntúa 0–2 salvo donde se indique 0–1. Esta escala es una herramienta propia para obligarnos a explicitar la tesis; no es una escala publicada por Lynch.</x:v>
      </x:c>
      <x:c r="B2" s="8" t="str">
        <x:v>Puntúa 0–2 salvo donde se indique 0–1. Esta escala es una herramienta propia para obligarnos a explicitar la tesis; no es una escala publicada por Lynch.</x:v>
      </x:c>
      <x:c r="C2" s="8" t="str">
        <x:v>Puntúa 0–2 salvo donde se indique 0–1. Esta escala es una herramienta propia para obligarnos a explicitar la tesis; no es una escala publicada por Lynch.</x:v>
      </x:c>
      <x:c r="D2" s="8" t="str">
        <x:v>Puntúa 0–2 salvo donde se indique 0–1. Esta escala es una herramienta propia para obligarnos a explicitar la tesis; no es una escala publicada por Lynch.</x:v>
      </x:c>
      <x:c r="E2" s="8" t="str">
        <x:v>Puntúa 0–2 salvo donde se indique 0–1. Esta escala es una herramienta propia para obligarnos a explicitar la tesis; no es una escala publicada por Lynch.</x:v>
      </x:c>
      <x:c r="F2" s="8" t="str">
        <x:v>Puntúa 0–2 salvo donde se indique 0–1. Esta escala es una herramienta propia para obligarnos a explicitar la tesis; no es una escala publicada por Lynch.</x:v>
      </x:c>
      <x:c r="G2" s="8" t="str">
        <x:v>Puntúa 0–2 salvo donde se indique 0–1. Esta escala es una herramienta propia para obligarnos a explicitar la tesis; no es una escala publicada por Lynch.</x:v>
      </x:c>
      <x:c r="H2" s="8" t="str">
        <x:v>Puntúa 0–2 salvo donde se indique 0–1. Esta escala es una herramienta propia para obligarnos a explicitar la tesis; no es una escala publicada por Lynch.</x:v>
      </x:c>
      <x:c r="I2" s="8" t="str">
        <x:v>Puntúa 0–2 salvo donde se indique 0–1. Esta escala es una herramienta propia para obligarnos a explicitar la tesis; no es una escala publicada por Lynch.</x:v>
      </x:c>
      <x:c r="J2" s="8" t="str">
        <x:v>Puntúa 0–2 salvo donde se indique 0–1. Esta escala es una herramienta propia para obligarnos a explicitar la tesis; no es una escala publicada por Lynch.</x:v>
      </x:c>
      <x:c r="K2" s="8" t="str">
        <x:v>Puntúa 0–2 salvo donde se indique 0–1. Esta escala es una herramienta propia para obligarnos a explicitar la tesis; no es una escala publicada por Lynch.</x:v>
      </x:c>
      <x:c r="L2" s="8" t="str">
        <x:v>Puntúa 0–2 salvo donde se indique 0–1. Esta escala es una herramienta propia para obligarnos a explicitar la tesis; no es una escala publicada por Lynch.</x:v>
      </x:c>
      <x:c r="M2" s="8" t="str">
        <x:v>Puntúa 0–2 salvo donde se indique 0–1. Esta escala es una herramienta propia para obligarnos a explicitar la tesis; no es una escala publicada por Lynch.</x:v>
      </x:c>
      <x:c r="N2" s="8" t="str">
        <x:v>Puntúa 0–2 salvo donde se indique 0–1. Esta escala es una herramienta propia para obligarnos a explicitar la tesis; no es una escala publicada por Lynch.</x:v>
      </x:c>
      <x:c r="O2" s="8" t="str">
        <x:v>Puntúa 0–2 salvo donde se indique 0–1. Esta escala es una herramienta propia para obligarnos a explicitar la tesis; no es una escala publicada por Lynch.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</x:row>
    <x:row r="4" ht="36" hidden="0" customHeight="1">
      <x:c r="A4" s="20" t="str">
        <x:v>Empresa</x:v>
      </x:c>
      <x:c r="B4" s="20" t="str">
        <x:v>Ticker</x:v>
      </x:c>
      <x:c r="C4" s="20" t="str">
        <x:v>Negocio comprensible (0-2)</x:v>
      </x:c>
      <x:c r="D4" s="20" t="str">
        <x:v>Historia / catalizador (0-2)</x:v>
      </x:c>
      <x:c r="E4" s="20" t="str">
        <x:v>Crecimiento (0-2)</x:v>
      </x:c>
      <x:c r="F4" s="20" t="str">
        <x:v>Valoración (0-2)</x:v>
      </x:c>
      <x:c r="G4" s="20" t="str">
        <x:v>Balance / caja (0-2)</x:v>
      </x:c>
      <x:c r="H4" s="20" t="str">
        <x:v>Dividendo / recompra (0-1)</x:v>
      </x:c>
      <x:c r="I4" s="20" t="str">
        <x:v>Insiders / ownership (0-1)</x:v>
      </x:c>
      <x:c r="J4" s="20" t="str">
        <x:v>Riesgos manejables (0-2)</x:v>
      </x:c>
      <x:c r="K4" s="20" t="str">
        <x:v>Evidencia / disciplina (0-2)</x:v>
      </x:c>
      <x:c r="L4" s="20" t="str">
        <x:v>Total</x:v>
      </x:c>
      <x:c r="M4" s="20" t="str">
        <x:v>Veredicto</x:v>
      </x:c>
      <x:c r="N4" s="20" t="str">
        <x:v>Qué falta comprobar</x:v>
      </x:c>
      <x:c r="O4" s="20" t="str">
        <x:v>Última revisión</x:v>
      </x:c>
    </x:row>
    <x:row r="5" ht="92.4000015258789" hidden="0" customHeight="1">
      <x:c r="A5" s="58" t="str">
        <x:v>Atalaya Mining</x:v>
      </x:c>
      <x:c r="B5" s="58" t="str">
        <x:v>ATYM</x:v>
      </x:c>
      <x:c r="C5" s="104" t="n">
        <x:v>2</x:v>
      </x:c>
      <x:c r="D5" s="104" t="n">
        <x:v>1</x:v>
      </x:c>
      <x:c r="E5" s="104" t="n">
        <x:v>2</x:v>
      </x:c>
      <x:c r="F5" s="104" t="n">
        <x:v>1</x:v>
      </x:c>
      <x:c r="G5" s="104" t="n">
        <x:v>2</x:v>
      </x:c>
      <x:c r="H5" s="104" t="n">
        <x:v>0</x:v>
      </x:c>
      <x:c r="I5" s="104" t="n">
        <x:v>1</x:v>
      </x:c>
      <x:c r="J5" s="104" t="n">
        <x:v>1</x:v>
      </x:c>
      <x:c r="K5" s="104" t="n">
        <x:v>1</x:v>
      </x:c>
      <x:c r="L5" s="94" t="n">
        <x:f>SUM(C5:K5)</x:f>
        <x:v>11</x:v>
      </x:c>
      <x:c r="M5" s="28" t="str">
        <x:f>IF(L5&gt;=12,"Candidato",IF(L5&gt;=9,"Vigilancia","Revisar"))</x:f>
        <x:v>Vigilancia</x:v>
      </x:c>
      <x:c r="N5" s="58" t="str">
        <x:v>Guía de producción, Touro, coste AISC y conversión de caja.</x:v>
      </x:c>
      <x:c r="O5" s="59" t="n">
        <x:v>46238</x:v>
      </x:c>
    </x:row>
    <x:row r="6" ht="105.5999984741211" hidden="0" customHeight="1">
      <x:c r="A6" s="58" t="str">
        <x:v>Rio Tinto</x:v>
      </x:c>
      <x:c r="B6" s="58" t="str">
        <x:v>RIO</x:v>
      </x:c>
      <x:c r="C6" s="104" t="n">
        <x:v>2</x:v>
      </x:c>
      <x:c r="D6" s="104" t="n">
        <x:v>2</x:v>
      </x:c>
      <x:c r="E6" s="104" t="n">
        <x:v>1</x:v>
      </x:c>
      <x:c r="F6" s="104" t="n">
        <x:v>2</x:v>
      </x:c>
      <x:c r="G6" s="104" t="n">
        <x:v>2</x:v>
      </x:c>
      <x:c r="H6" s="104" t="n">
        <x:v>1</x:v>
      </x:c>
      <x:c r="I6" s="104" t="n">
        <x:v>1</x:v>
      </x:c>
      <x:c r="J6" s="104" t="n">
        <x:v>1</x:v>
      </x:c>
      <x:c r="K6" s="104" t="n">
        <x:v>2</x:v>
      </x:c>
      <x:c r="L6" s="94" t="n">
        <x:f>SUM(C6:K6)</x:f>
        <x:v>14</x:v>
      </x:c>
      <x:c r="M6" s="28" t="str">
        <x:f>IF(L6&gt;=12,"Candidato",IF(L6&gt;=9,"Vigilancia","Revisar"))</x:f>
        <x:v>Candidato</x:v>
      </x:c>
      <x:c r="N6" s="58" t="str">
        <x:v>Sensibilidad a cobre/aluminio, capex de grandes proyectos y China.</x:v>
      </x:c>
      <x:c r="O6" s="59" t="n">
        <x:v>46238</x:v>
      </x:c>
    </x:row>
    <x:row r="7" ht="105.5999984741211" hidden="0" customHeight="1">
      <x:c r="A7" s="58" t="str">
        <x:v>eToro</x:v>
      </x:c>
      <x:c r="B7" s="58" t="str">
        <x:v>ETOR</x:v>
      </x:c>
      <x:c r="C7" s="104" t="n">
        <x:v>2</x:v>
      </x:c>
      <x:c r="D7" s="104" t="n">
        <x:v>2</x:v>
      </x:c>
      <x:c r="E7" s="104" t="n">
        <x:v>2</x:v>
      </x:c>
      <x:c r="F7" s="104" t="n">
        <x:v>1</x:v>
      </x:c>
      <x:c r="G7" s="104" t="n">
        <x:v>2</x:v>
      </x:c>
      <x:c r="H7" s="104" t="n">
        <x:v>1</x:v>
      </x:c>
      <x:c r="I7" s="104" t="n">
        <x:v>0</x:v>
      </x:c>
      <x:c r="J7" s="104" t="n">
        <x:v>1</x:v>
      </x:c>
      <x:c r="K7" s="104" t="n">
        <x:v>1</x:v>
      </x:c>
      <x:c r="L7" s="94" t="n">
        <x:f>SUM(C7:K7)</x:f>
        <x:v>12</x:v>
      </x:c>
      <x:c r="M7" s="28" t="str">
        <x:f>IF(L7&gt;=12,"Candidato",IF(L7&gt;=9,"Vigilancia","Revisar"))</x:f>
        <x:v>Candidato</x:v>
      </x:c>
      <x:c r="N7" s="58" t="str">
        <x:v>Resultados Q2, calidad de ingresos, lock-ups/dual class y sensibilidad cripto.</x:v>
      </x:c>
      <x:c r="O7" s="59" t="n">
        <x:v>46238</x:v>
      </x:c>
    </x:row>
    <x:row r="8" ht="105.5999984741211" hidden="0" customHeight="1">
      <x:c r="A8" s="58" t="str">
        <x:v>HBX Group</x:v>
      </x:c>
      <x:c r="B8" s="58" t="str">
        <x:v>HBX</x:v>
      </x:c>
      <x:c r="C8" s="104" t="n">
        <x:v>2</x:v>
      </x:c>
      <x:c r="D8" s="104" t="n">
        <x:v>2</x:v>
      </x:c>
      <x:c r="E8" s="104" t="n">
        <x:v>1</x:v>
      </x:c>
      <x:c r="F8" s="104" t="n">
        <x:v>2</x:v>
      </x:c>
      <x:c r="G8" s="104" t="n">
        <x:v>1</x:v>
      </x:c>
      <x:c r="H8" s="104" t="n">
        <x:v>1</x:v>
      </x:c>
      <x:c r="I8" s="104" t="n">
        <x:v>1</x:v>
      </x:c>
      <x:c r="J8" s="104" t="n">
        <x:v>1</x:v>
      </x:c>
      <x:c r="K8" s="104" t="n">
        <x:v>1</x:v>
      </x:c>
      <x:c r="L8" s="94" t="n">
        <x:f>SUM(C8:K8)</x:f>
        <x:v>12</x:v>
      </x:c>
      <x:c r="M8" s="28" t="str">
        <x:f>IF(L8&gt;=12,"Candidato",IF(L8&gt;=9,"Vigilancia","Revisar"))</x:f>
        <x:v>Candidato</x:v>
      </x:c>
      <x:c r="N8" s="58" t="str">
        <x:v>Deuda neta, nueva guía, transición de CEO y conversión a caja.</x:v>
      </x:c>
      <x:c r="O8" s="59" t="n">
        <x:v>46238</x:v>
      </x:c>
    </x:row>
    <x:row r="9" ht="118.80000305175781" hidden="0" customHeight="1">
      <x:c r="A9" s="58" t="str">
        <x:v>Figma</x:v>
      </x:c>
      <x:c r="B9" s="58" t="str">
        <x:v>FIG</x:v>
      </x:c>
      <x:c r="C9" s="104" t="n">
        <x:v>2</x:v>
      </x:c>
      <x:c r="D9" s="104" t="n">
        <x:v>2</x:v>
      </x:c>
      <x:c r="E9" s="104" t="n">
        <x:v>2</x:v>
      </x:c>
      <x:c r="F9" s="104" t="n">
        <x:v>0</x:v>
      </x:c>
      <x:c r="G9" s="104" t="n">
        <x:v>2</x:v>
      </x:c>
      <x:c r="H9" s="104" t="n">
        <x:v>0</x:v>
      </x:c>
      <x:c r="I9" s="104" t="n">
        <x:v>0</x:v>
      </x:c>
      <x:c r="J9" s="104" t="n">
        <x:v>1</x:v>
      </x:c>
      <x:c r="K9" s="104" t="n">
        <x:v>1</x:v>
      </x:c>
      <x:c r="L9" s="94" t="n">
        <x:f>SUM(C9:K9)</x:f>
        <x:v>10</x:v>
      </x:c>
      <x:c r="M9" s="28" t="str">
        <x:f>IF(L9&gt;=12,"Candidato",IF(L9&gt;=9,"Vigilancia","Revisar"))</x:f>
        <x:v>Vigilancia</x:v>
      </x:c>
      <x:c r="N9" s="58" t="str">
        <x:v>Q2, SBC/dilución, retención y valoración sobre FCF normalizado.</x:v>
      </x:c>
      <x:c r="O9" s="59" t="n">
        <x:v>46238</x:v>
      </x:c>
    </x:row>
    <x:row r="10" ht="105.5999984741211" hidden="0" customHeight="1">
      <x:c r="A10" s="58" t="str">
        <x:v>JD Sports Fashion</x:v>
      </x:c>
      <x:c r="B10" s="58" t="str">
        <x:v>JD.</x:v>
      </x:c>
      <x:c r="C10" s="104" t="n">
        <x:v>2</x:v>
      </x:c>
      <x:c r="D10" s="104" t="n">
        <x:v>1</x:v>
      </x:c>
      <x:c r="E10" s="104" t="n">
        <x:v>1</x:v>
      </x:c>
      <x:c r="F10" s="104" t="n">
        <x:v>2</x:v>
      </x:c>
      <x:c r="G10" s="104" t="n">
        <x:v>1</x:v>
      </x:c>
      <x:c r="H10" s="104" t="n">
        <x:v>1</x:v>
      </x:c>
      <x:c r="I10" s="104" t="n">
        <x:v>1</x:v>
      </x:c>
      <x:c r="J10" s="104" t="n">
        <x:v>1</x:v>
      </x:c>
      <x:c r="K10" s="104" t="n">
        <x:v>1</x:v>
      </x:c>
      <x:c r="L10" s="94" t="n">
        <x:f>SUM(C10:K10)</x:f>
        <x:v>11</x:v>
      </x:c>
      <x:c r="M10" s="28" t="str">
        <x:f>IF(L10&gt;=12,"Candidato",IF(L10&gt;=9,"Vigilancia","Revisar"))</x:f>
        <x:v>Vigilancia</x:v>
      </x:c>
      <x:c r="N10" s="58" t="str">
        <x:v>Márgenes, LFL en EE. UU., inventario y efecto de recompras sobre EPS.</x:v>
      </x:c>
      <x:c r="O10" s="59" t="n">
        <x:v>46238</x:v>
      </x:c>
    </x:row>
    <x:row r="11" ht="118.80000305175781" hidden="0" customHeight="1">
      <x:c r="A11" s="58" t="str">
        <x:v>PayPal</x:v>
      </x:c>
      <x:c r="B11" s="58" t="str">
        <x:v>PYPL</x:v>
      </x:c>
      <x:c r="C11" s="104" t="n">
        <x:v>2</x:v>
      </x:c>
      <x:c r="D11" s="104" t="n">
        <x:v>1</x:v>
      </x:c>
      <x:c r="E11" s="104" t="n">
        <x:v>1</x:v>
      </x:c>
      <x:c r="F11" s="104" t="n">
        <x:v>2</x:v>
      </x:c>
      <x:c r="G11" s="104" t="n">
        <x:v>2</x:v>
      </x:c>
      <x:c r="H11" s="104" t="n">
        <x:v>1</x:v>
      </x:c>
      <x:c r="I11" s="104" t="n">
        <x:v>0</x:v>
      </x:c>
      <x:c r="J11" s="104" t="n">
        <x:v>1</x:v>
      </x:c>
      <x:c r="K11" s="104" t="n">
        <x:v>1</x:v>
      </x:c>
      <x:c r="L11" s="94" t="n">
        <x:f>SUM(C11:K11)</x:f>
        <x:v>11</x:v>
      </x:c>
      <x:c r="M11" s="28" t="str">
        <x:f>IF(L11&gt;=12,"Candidato",IF(L11&gt;=9,"Vigilancia","Revisar"))</x:f>
        <x:v>Vigilancia</x:v>
      </x:c>
      <x:c r="N11" s="58" t="str">
        <x:v>Checkout branded, cuentas activas, nueva estrategia y competencia.</x:v>
      </x:c>
      <x:c r="O11" s="59" t="n">
        <x:v>46238</x:v>
      </x:c>
    </x:row>
    <x:row r="12" ht="132" hidden="0" customHeight="1">
      <x:c r="A12" s="58" t="str">
        <x:v>Wise</x:v>
      </x:c>
      <x:c r="B12" s="58" t="str">
        <x:v>WISE</x:v>
      </x:c>
      <x:c r="C12" s="104" t="n">
        <x:v>2</x:v>
      </x:c>
      <x:c r="D12" s="104" t="n">
        <x:v>2</x:v>
      </x:c>
      <x:c r="E12" s="104" t="n">
        <x:v>2</x:v>
      </x:c>
      <x:c r="F12" s="104" t="n">
        <x:v>1</x:v>
      </x:c>
      <x:c r="G12" s="104" t="n">
        <x:v>2</x:v>
      </x:c>
      <x:c r="H12" s="104" t="n">
        <x:v>0</x:v>
      </x:c>
      <x:c r="I12" s="104" t="n">
        <x:v>1</x:v>
      </x:c>
      <x:c r="J12" s="104" t="n">
        <x:v>1</x:v>
      </x:c>
      <x:c r="K12" s="104" t="n">
        <x:v>1</x:v>
      </x:c>
      <x:c r="L12" s="94" t="n">
        <x:f>SUM(C12:K12)</x:f>
        <x:v>12</x:v>
      </x:c>
      <x:c r="M12" s="28" t="str">
        <x:f>IF(L12&gt;=12,"Candidato",IF(L12&gt;=9,"Vigilancia","Revisar"))</x:f>
        <x:v>Candidato</x:v>
      </x:c>
      <x:c r="N12" s="58" t="str">
        <x:v>Q2 FY27, take rate, margen antes de impuestos, caja utilizable y regulación.</x:v>
      </x:c>
      <x:c r="O12" s="59" t="n">
        <x:v>46238</x:v>
      </x:c>
    </x:row>
    <x:row r="13" ht="118.80000305175781" hidden="0" customHeight="1">
      <x:c r="A13" s="58" t="str">
        <x:v>Auto Trader</x:v>
      </x:c>
      <x:c r="B13" s="58" t="str">
        <x:v>AUTO</x:v>
      </x:c>
      <x:c r="C13" s="104" t="n">
        <x:v>2</x:v>
      </x:c>
      <x:c r="D13" s="104" t="n">
        <x:v>2</x:v>
      </x:c>
      <x:c r="E13" s="104" t="n">
        <x:v>1</x:v>
      </x:c>
      <x:c r="F13" s="104" t="n">
        <x:v>2</x:v>
      </x:c>
      <x:c r="G13" s="104" t="n">
        <x:v>1</x:v>
      </x:c>
      <x:c r="H13" s="104" t="n">
        <x:v>1</x:v>
      </x:c>
      <x:c r="I13" s="104" t="n">
        <x:v>1</x:v>
      </x:c>
      <x:c r="J13" s="104" t="n">
        <x:v>1</x:v>
      </x:c>
      <x:c r="K13" s="104" t="n">
        <x:v>2</x:v>
      </x:c>
      <x:c r="L13" s="94" t="n">
        <x:f>SUM(C13:K13)</x:f>
        <x:v>13</x:v>
      </x:c>
      <x:c r="M13" s="28" t="str">
        <x:f>IF(L13&gt;=12,"Candidato",IF(L13&gt;=9,"Vigilancia","Revisar"))</x:f>
        <x:v>Candidato</x:v>
      </x:c>
      <x:c r="N13" s="58" t="str">
        <x:v>Deal Builder, stock pagado, ARPR, concesionarios y deuda neta.</x:v>
      </x:c>
      <x:c r="O13" s="59" t="n">
        <x:v>46238</x:v>
      </x:c>
    </x:row>
    <x:row r="14" ht="132" hidden="0" customHeight="1">
      <x:c r="A14" s="58" t="str">
        <x:v>B&amp;M European Value Retail</x:v>
      </x:c>
      <x:c r="B14" s="58" t="str">
        <x:v>BME</x:v>
      </x:c>
      <x:c r="C14" s="104" t="n">
        <x:v>2</x:v>
      </x:c>
      <x:c r="D14" s="104" t="n">
        <x:v>2</x:v>
      </x:c>
      <x:c r="E14" s="104" t="n">
        <x:v>1</x:v>
      </x:c>
      <x:c r="F14" s="104" t="n">
        <x:v>2</x:v>
      </x:c>
      <x:c r="G14" s="104" t="n">
        <x:v>1</x:v>
      </x:c>
      <x:c r="H14" s="104" t="n">
        <x:v>1</x:v>
      </x:c>
      <x:c r="I14" s="104" t="n">
        <x:v>1</x:v>
      </x:c>
      <x:c r="J14" s="104" t="n">
        <x:v>1</x:v>
      </x:c>
      <x:c r="K14" s="104" t="n">
        <x:v>1</x:v>
      </x:c>
      <x:c r="L14" s="94" t="n">
        <x:f>SUM(C14:K14)</x:f>
        <x:v>12</x:v>
      </x:c>
      <x:c r="M14" s="28" t="str">
        <x:f>IF(L14&gt;=12,"Candidato",IF(L14&gt;=9,"Vigilancia","Revisar"))</x:f>
        <x:v>Candidato</x:v>
      </x:c>
      <x:c r="N14" s="58" t="str">
        <x:v>LFL UK, margen EBITDA, deuda, dividendo y ejecución de Back to B&amp;M Basics.</x:v>
      </x:c>
      <x:c r="O14" s="59" t="n">
        <x:v>46238</x:v>
      </x:c>
    </x:row>
    <x:row r="15" ht="118.80000305175781" hidden="0" customHeight="1">
      <x:c r="A15" s="58" t="str">
        <x:v>Kainos Group</x:v>
      </x:c>
      <x:c r="B15" s="58" t="str">
        <x:v>KNOS</x:v>
      </x:c>
      <x:c r="C15" s="104" t="n">
        <x:v>2</x:v>
      </x:c>
      <x:c r="D15" s="104" t="n">
        <x:v>2</x:v>
      </x:c>
      <x:c r="E15" s="104" t="n">
        <x:v>2</x:v>
      </x:c>
      <x:c r="F15" s="104" t="n">
        <x:v>1</x:v>
      </x:c>
      <x:c r="G15" s="104" t="n">
        <x:v>2</x:v>
      </x:c>
      <x:c r="H15" s="104" t="n">
        <x:v>1</x:v>
      </x:c>
      <x:c r="I15" s="104" t="n">
        <x:v>1</x:v>
      </x:c>
      <x:c r="J15" s="104" t="n">
        <x:v>1</x:v>
      </x:c>
      <x:c r="K15" s="104" t="n">
        <x:v>1</x:v>
      </x:c>
      <x:c r="L15" s="94" t="n">
        <x:f>SUM(C15:K15)</x:f>
        <x:v>13</x:v>
      </x:c>
      <x:c r="M15" s="28" t="str">
        <x:f>IF(L15&gt;=12,"Candidato",IF(L15&gt;=9,"Vigilancia","Revisar"))</x:f>
        <x:v>Candidato</x:v>
      </x:c>
      <x:c r="N15" s="58" t="str">
        <x:v>ARR Workday, bookings/backlog, margen ajustado y caja tras recompras.</x:v>
      </x:c>
      <x:c r="O15" s="59" t="n">
        <x:v>46238</x:v>
      </x:c>
    </x:row>
    <x:row r="16" ht="118.80000305175781" hidden="0" customHeight="1">
      <x:c r="A16" s="58" t="str">
        <x:v>Plus500</x:v>
      </x:c>
      <x:c r="B16" s="58" t="str">
        <x:v>PLUS</x:v>
      </x:c>
      <x:c r="C16" s="104" t="n">
        <x:v>2</x:v>
      </x:c>
      <x:c r="D16" s="104" t="n">
        <x:v>2</x:v>
      </x:c>
      <x:c r="E16" s="104" t="n">
        <x:v>2</x:v>
      </x:c>
      <x:c r="F16" s="104" t="n">
        <x:v>2</x:v>
      </x:c>
      <x:c r="G16" s="104" t="n">
        <x:v>2</x:v>
      </x:c>
      <x:c r="H16" s="104" t="n">
        <x:v>1</x:v>
      </x:c>
      <x:c r="I16" s="104" t="n">
        <x:v>1</x:v>
      </x:c>
      <x:c r="J16" s="104" t="n">
        <x:v>1</x:v>
      </x:c>
      <x:c r="K16" s="104" t="n">
        <x:v>1</x:v>
      </x:c>
      <x:c r="L16" s="94" t="n">
        <x:f>SUM(C16:K16)</x:f>
        <x:v>14</x:v>
      </x:c>
      <x:c r="M16" s="28" t="str">
        <x:f>IF(L16&gt;=12,"Candidato",IF(L16&gt;=9,"Vigilancia","Revisar"))</x:f>
        <x:v>Candidato</x:v>
      </x:c>
      <x:c r="N16" s="58" t="str">
        <x:v>H1: customer income, EBITDA, clientes, margen, regulación y retorno de capital.</x:v>
      </x:c>
      <x:c r="O16" s="59" t="n">
        <x:v>46238</x:v>
      </x:c>
    </x:row>
    <x:row r="17" ht="145.1999969482422" hidden="0" customHeight="1">
      <x:c r="A17" s="58" t="str">
        <x:v>Rightmove</x:v>
      </x:c>
      <x:c r="B17" s="58" t="str">
        <x:v>RMV</x:v>
      </x:c>
      <x:c r="C17" s="104" t="n">
        <x:v>2</x:v>
      </x:c>
      <x:c r="D17" s="104" t="n">
        <x:v>2</x:v>
      </x:c>
      <x:c r="E17" s="104" t="n">
        <x:v>2</x:v>
      </x:c>
      <x:c r="F17" s="104" t="n">
        <x:v>1</x:v>
      </x:c>
      <x:c r="G17" s="104" t="n">
        <x:v>2</x:v>
      </x:c>
      <x:c r="H17" s="104" t="n">
        <x:v>1</x:v>
      </x:c>
      <x:c r="I17" s="104" t="n">
        <x:v>1</x:v>
      </x:c>
      <x:c r="J17" s="104" t="n">
        <x:v>1</x:v>
      </x:c>
      <x:c r="K17" s="104" t="n">
        <x:v>1</x:v>
      </x:c>
      <x:c r="L17" s="94" t="n">
        <x:f>SUM(C17:K17)</x:f>
        <x:v>13</x:v>
      </x:c>
      <x:c r="M17" s="28" t="str">
        <x:f>IF(L17&gt;=12,"Candidato",IF(L17&gt;=9,"Vigilancia","Revisar"))</x:f>
        <x:v>Candidato</x:v>
      </x:c>
      <x:c r="N17" s="58" t="str">
        <x:v>H1: crecimiento de ingresos, ARPA, miembros, áreas nuevas, LLM referrals y litigio.</x:v>
      </x:c>
      <x:c r="O17" s="59" t="n">
        <x:v>46238</x:v>
      </x:c>
    </x:row>
    <x:row r="18" ht="132" hidden="0" customHeight="1">
      <x:c r="A18" s="58" t="str">
        <x:v>Games Workshop</x:v>
      </x:c>
      <x:c r="B18" s="58" t="str">
        <x:v>GAW</x:v>
      </x:c>
      <x:c r="C18" s="104" t="n">
        <x:v>2</x:v>
      </x:c>
      <x:c r="D18" s="104" t="n">
        <x:v>2</x:v>
      </x:c>
      <x:c r="E18" s="104" t="n">
        <x:v>2</x:v>
      </x:c>
      <x:c r="F18" s="104" t="n">
        <x:v>0</x:v>
      </x:c>
      <x:c r="G18" s="104" t="n">
        <x:v>2</x:v>
      </x:c>
      <x:c r="H18" s="104" t="n">
        <x:v>1</x:v>
      </x:c>
      <x:c r="I18" s="104" t="n">
        <x:v>1</x:v>
      </x:c>
      <x:c r="J18" s="104" t="n">
        <x:v>1</x:v>
      </x:c>
      <x:c r="K18" s="104" t="n">
        <x:v>2</x:v>
      </x:c>
      <x:c r="L18" s="94" t="n">
        <x:f>SUM(C18:K18)</x:f>
        <x:v>13</x:v>
      </x:c>
      <x:c r="M18" s="28" t="str">
        <x:f>IF(L18&gt;=12,"Candidato",IF(L18&gt;=9,"Vigilancia","Revisar"))</x:f>
        <x:v>Candidato</x:v>
      </x:c>
      <x:c r="N18" s="58" t="str">
        <x:v>Normalización del crecimiento, licencias, royalties, margen y retorno de caja al accionista.</x:v>
      </x:c>
      <x:c r="O18" s="59" t="n">
        <x:v>46238</x:v>
      </x:c>
    </x:row>
    <x:row r="19" ht="145.1999969482422" hidden="0" customHeight="1">
      <x:c r="A19" s="58" t="str">
        <x:v>Computacenter</x:v>
      </x:c>
      <x:c r="B19" s="58" t="str">
        <x:v>CCC</x:v>
      </x:c>
      <x:c r="C19" s="104" t="n">
        <x:v>2</x:v>
      </x:c>
      <x:c r="D19" s="104" t="n">
        <x:v>2</x:v>
      </x:c>
      <x:c r="E19" s="104" t="n">
        <x:v>2</x:v>
      </x:c>
      <x:c r="F19" s="104" t="n">
        <x:v>1</x:v>
      </x:c>
      <x:c r="G19" s="104" t="n">
        <x:v>2</x:v>
      </x:c>
      <x:c r="H19" s="104" t="n">
        <x:v>1</x:v>
      </x:c>
      <x:c r="I19" s="104" t="n">
        <x:v>1</x:v>
      </x:c>
      <x:c r="J19" s="104" t="n">
        <x:v>0</x:v>
      </x:c>
      <x:c r="K19" s="104" t="n">
        <x:v>1</x:v>
      </x:c>
      <x:c r="L19" s="94" t="n">
        <x:f>SUM(C19:K19)</x:f>
        <x:v>12</x:v>
      </x:c>
      <x:c r="M19" s="28" t="str">
        <x:f>IF(L19&gt;=12,"Candidato",IF(L19&gt;=9,"Vigilancia","Revisar"))</x:f>
        <x:v>Candidato</x:v>
      </x:c>
      <x:c r="N19" s="58" t="str">
        <x:v>H1: Technology Sourcing, Managed Services, margen bruto, consenso y caja neta.</x:v>
      </x:c>
      <x:c r="O19" s="59" t="n">
        <x:v>46238</x:v>
      </x:c>
    </x:row>
    <x:row r="20" ht="132" hidden="0" customHeight="1">
      <x:c r="A20" s="58" t="str">
        <x:v>Howdens Joinery</x:v>
      </x:c>
      <x:c r="B20" s="58" t="str">
        <x:v>HWDN</x:v>
      </x:c>
      <x:c r="C20" s="104" t="n">
        <x:v>2</x:v>
      </x:c>
      <x:c r="D20" s="104" t="n">
        <x:v>2</x:v>
      </x:c>
      <x:c r="E20" s="104" t="n">
        <x:v>1</x:v>
      </x:c>
      <x:c r="F20" s="104" t="n">
        <x:v>2</x:v>
      </x:c>
      <x:c r="G20" s="104" t="n">
        <x:v>2</x:v>
      </x:c>
      <x:c r="H20" s="104" t="n">
        <x:v>1</x:v>
      </x:c>
      <x:c r="I20" s="104" t="n">
        <x:v>1</x:v>
      </x:c>
      <x:c r="J20" s="104" t="n">
        <x:v>1</x:v>
      </x:c>
      <x:c r="K20" s="104" t="n">
        <x:v>1</x:v>
      </x:c>
      <x:c r="L20" s="94" t="n">
        <x:f>SUM(C20:K20)</x:f>
        <x:v>13</x:v>
      </x:c>
      <x:c r="M20" s="28" t="str">
        <x:f>IF(L20&gt;=12,"Candidato",IF(L20&gt;=9,"Vigilancia","Revisar"))</x:f>
        <x:v>Candidato</x:v>
      </x:c>
      <x:c r="N20" s="58" t="str">
        <x:v>Trading update: ventas comparables, margen bruto, aperturas, vivienda y caja.</x:v>
      </x:c>
      <x:c r="O20" s="59" t="n">
        <x:v>46238</x:v>
      </x:c>
    </x:row>
    <x:row r="21" ht="145.1999969482422" hidden="0" customHeight="1">
      <x:c r="A21" s="58" t="str">
        <x:v>Domino's Pizza Group</x:v>
      </x:c>
      <x:c r="B21" s="58" t="str">
        <x:v>DOM</x:v>
      </x:c>
      <x:c r="C21" s="104" t="n">
        <x:v>2</x:v>
      </x:c>
      <x:c r="D21" s="104" t="n">
        <x:v>2</x:v>
      </x:c>
      <x:c r="E21" s="104" t="n">
        <x:v>0</x:v>
      </x:c>
      <x:c r="F21" s="104" t="n">
        <x:v>2</x:v>
      </x:c>
      <x:c r="G21" s="104" t="n">
        <x:v>1</x:v>
      </x:c>
      <x:c r="H21" s="104" t="n">
        <x:v>1</x:v>
      </x:c>
      <x:c r="I21" s="104" t="n">
        <x:v>1</x:v>
      </x:c>
      <x:c r="J21" s="104" t="n">
        <x:v>1</x:v>
      </x:c>
      <x:c r="K21" s="104" t="n">
        <x:v>1</x:v>
      </x:c>
      <x:c r="L21" s="94" t="n">
        <x:f>SUM(C21:K21)</x:f>
        <x:v>11</x:v>
      </x:c>
      <x:c r="M21" s="28" t="str">
        <x:f>IF(L21&gt;=12,"Candidato",IF(L21&gt;=9,"Vigilancia","Revisar"))</x:f>
        <x:v>Vigilancia</x:v>
      </x:c>
      <x:c r="N21" s="58" t="str">
        <x:v>H1: system sales, EBITDA, PBT, franquiciados, promociones y efecto del activismo.</x:v>
      </x:c>
      <x:c r="O21" s="59" t="n">
        <x:v>46238</x:v>
      </x:c>
    </x:row>
    <x:row r="22" ht="145.1999969482422" hidden="0" customHeight="1">
      <x:c r="A22" s="58" t="str">
        <x:v>Bellway</x:v>
      </x:c>
      <x:c r="B22" s="58" t="str">
        <x:v>BWY</x:v>
      </x:c>
      <x:c r="C22" s="104" t="n">
        <x:v>2</x:v>
      </x:c>
      <x:c r="D22" s="104" t="n">
        <x:v>2</x:v>
      </x:c>
      <x:c r="E22" s="104" t="n">
        <x:v>1</x:v>
      </x:c>
      <x:c r="F22" s="104" t="n">
        <x:v>2</x:v>
      </x:c>
      <x:c r="G22" s="104" t="n">
        <x:v>1</x:v>
      </x:c>
      <x:c r="H22" s="104" t="n">
        <x:v>1</x:v>
      </x:c>
      <x:c r="I22" s="104" t="n">
        <x:v>1</x:v>
      </x:c>
      <x:c r="J22" s="104" t="n">
        <x:v>1</x:v>
      </x:c>
      <x:c r="K22" s="104" t="n">
        <x:v>1</x:v>
      </x:c>
      <x:c r="L22" s="94" t="n">
        <x:f>SUM(C22:K22)</x:f>
        <x:v>12</x:v>
      </x:c>
      <x:c r="M22" s="28" t="str">
        <x:f>IF(L22&gt;=12,"Candidato",IF(L22&gt;=9,"Vigilancia","Revisar"))</x:f>
        <x:v>Candidato</x:v>
      </x:c>
      <x:c r="N22" s="58" t="str">
        <x:v>Trading update: reservas, cancelaciones, orderbook, margen, deuda y demanda hipotecaria.</x:v>
      </x:c>
      <x:c r="O22" s="59" t="n">
        <x:v>46238</x:v>
      </x:c>
    </x:row>
    <x:row r="23" ht="105.5999984741211" hidden="0" customHeight="1">
      <x:c r="A23" s="58" t="str">
        <x:v>Babcock International</x:v>
      </x:c>
      <x:c r="B23" s="58" t="str">
        <x:v>BAB</x:v>
      </x:c>
      <x:c r="C23" s="104" t="n">
        <x:v>2</x:v>
      </x:c>
      <x:c r="D23" s="104" t="n">
        <x:v>2</x:v>
      </x:c>
      <x:c r="E23" s="104" t="n">
        <x:v>2</x:v>
      </x:c>
      <x:c r="F23" s="104" t="n">
        <x:v>1</x:v>
      </x:c>
      <x:c r="G23" s="104" t="n">
        <x:v>2</x:v>
      </x:c>
      <x:c r="H23" s="104" t="n">
        <x:v>1</x:v>
      </x:c>
      <x:c r="I23" s="104" t="n">
        <x:v>1</x:v>
      </x:c>
      <x:c r="J23" s="104" t="n">
        <x:v>1</x:v>
      </x:c>
      <x:c r="K23" s="104" t="n">
        <x:v>1</x:v>
      </x:c>
      <x:c r="L23" s="94" t="n">
        <x:f>SUM(C23:K23)</x:f>
        <x:v>13</x:v>
      </x:c>
      <x:c r="M23" s="28" t="str">
        <x:f>IF(L23&gt;=12,"Candidato",IF(L23&gt;=9,"Vigilancia","Revisar"))</x:f>
        <x:v>Candidato</x:v>
      </x:c>
      <x:c r="N23" s="58" t="str">
        <x:v>H1: FCF, backlog, margen, Type 31, ejecución contractual y recompra.</x:v>
      </x:c>
      <x:c r="O23" s="59" t="n">
        <x:v>46238</x:v>
      </x:c>
    </x:row>
    <x:row r="24" ht="145.1999969482422" hidden="0" customHeight="1">
      <x:c r="A24" s="58" t="str">
        <x:v>Oxford Instruments</x:v>
      </x:c>
      <x:c r="B24" s="58" t="str">
        <x:v>OXIG</x:v>
      </x:c>
      <x:c r="C24" s="104" t="n">
        <x:v>2</x:v>
      </x:c>
      <x:c r="D24" s="104" t="n">
        <x:v>2</x:v>
      </x:c>
      <x:c r="E24" s="104" t="n">
        <x:v>1</x:v>
      </x:c>
      <x:c r="F24" s="104" t="n">
        <x:v>1</x:v>
      </x:c>
      <x:c r="G24" s="104" t="n">
        <x:v>2</x:v>
      </x:c>
      <x:c r="H24" s="104" t="n">
        <x:v>1</x:v>
      </x:c>
      <x:c r="I24" s="104" t="n">
        <x:v>1</x:v>
      </x:c>
      <x:c r="J24" s="104" t="n">
        <x:v>1</x:v>
      </x:c>
      <x:c r="K24" s="104" t="n">
        <x:v>1</x:v>
      </x:c>
      <x:c r="L24" s="94" t="n">
        <x:f>SUM(C24:K24)</x:f>
        <x:v>12</x:v>
      </x:c>
      <x:c r="M24" s="28" t="str">
        <x:f>IF(L24&gt;=12,"Candidato",IF(L24&gt;=9,"Vigilancia","Revisar"))</x:f>
        <x:v>Candidato</x:v>
      </x:c>
      <x:c r="N24" s="58" t="str">
        <x:v>Interinos: convertir order intake en ventas, margen ajustado, book-to-bill y semiconductores.</x:v>
      </x:c>
      <x:c r="O24" s="59" t="n">
        <x:v>46238</x:v>
      </x:c>
    </x:row>
    <x:row r="25" ht="118.80000305175781" hidden="0" customHeight="1">
      <x:c r="A25" s="58" t="str">
        <x:v>4imprint Group</x:v>
      </x:c>
      <x:c r="B25" s="58" t="str">
        <x:v>FOUR</x:v>
      </x:c>
      <x:c r="C25" s="104" t="n">
        <x:v>2</x:v>
      </x:c>
      <x:c r="D25" s="104" t="n">
        <x:v>2</x:v>
      </x:c>
      <x:c r="E25" s="104" t="n">
        <x:v>1</x:v>
      </x:c>
      <x:c r="F25" s="104" t="n">
        <x:v>2</x:v>
      </x:c>
      <x:c r="G25" s="104" t="n">
        <x:v>2</x:v>
      </x:c>
      <x:c r="H25" s="104" t="n">
        <x:v>1</x:v>
      </x:c>
      <x:c r="I25" s="104" t="n">
        <x:v>1</x:v>
      </x:c>
      <x:c r="J25" s="104" t="n">
        <x:v>1</x:v>
      </x:c>
      <x:c r="K25" s="104" t="n">
        <x:v>1</x:v>
      </x:c>
      <x:c r="L25" s="94" t="n">
        <x:f>SUM(C25:K25)</x:f>
        <x:v>13</x:v>
      </x:c>
      <x:c r="M25" s="28" t="str">
        <x:f>IF(L25&gt;=12,"Candidato",IF(L25&gt;=9,"Vigilancia","Revisar"))</x:f>
        <x:v>Candidato</x:v>
      </x:c>
      <x:c r="N25" s="58" t="str">
        <x:v>H1: pedidos nuevos/existentes, AOV, margen, aranceles, caja y guía.</x:v>
      </x:c>
      <x:c r="O25" s="59" t="n">
        <x:v>46238</x:v>
      </x:c>
    </x:row>
    <x:row r="26" ht="118.80000305175781" hidden="0" customHeight="1">
      <x:c r="A26" s="58" t="str">
        <x:v>Jet2</x:v>
      </x:c>
      <x:c r="B26" s="58" t="str">
        <x:v>JET2</x:v>
      </x:c>
      <x:c r="C26" s="104" t="n">
        <x:v>2</x:v>
      </x:c>
      <x:c r="D26" s="104" t="n">
        <x:v>2</x:v>
      </x:c>
      <x:c r="E26" s="104" t="n">
        <x:v>2</x:v>
      </x:c>
      <x:c r="F26" s="104" t="n">
        <x:v>2</x:v>
      </x:c>
      <x:c r="G26" s="104" t="n">
        <x:v>2</x:v>
      </x:c>
      <x:c r="H26" s="104" t="n">
        <x:v>1</x:v>
      </x:c>
      <x:c r="I26" s="104" t="n">
        <x:v>1</x:v>
      </x:c>
      <x:c r="J26" s="104" t="n">
        <x:v>1</x:v>
      </x:c>
      <x:c r="K26" s="104" t="n">
        <x:v>1</x:v>
      </x:c>
      <x:c r="L26" s="94" t="n">
        <x:f>SUM(C26:K26)</x:f>
        <x:v>14</x:v>
      </x:c>
      <x:c r="M26" s="28" t="str">
        <x:f>IF(L26&gt;=12,"Candidato",IF(L26&gt;=9,"Vigilancia","Revisar"))</x:f>
        <x:v>Candidato</x:v>
      </x:c>
      <x:c r="N26" s="58" t="str">
        <x:v>Interinos: ocupación, yield, combustible, capacidad, Gatwick, caja y recompra.</x:v>
      </x:c>
      <x:c r="O26" s="59" t="n">
        <x:v>46238</x:v>
      </x:c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</x:row>
    <x:row r="29" ht="15" hidden="0" customHeight="1">
      <x:c r="A29" s="36" t="str">
        <x:v>Preguntas de control antes de comprar</x:v>
      </x:c>
      <x:c r="B29" s="36" t="str">
        <x:v>Preguntas de control antes de comprar</x:v>
      </x:c>
      <x:c r="C29" s="36" t="str">
        <x:v>Preguntas de control antes de comprar</x:v>
      </x:c>
      <x:c r="D29" s="36" t="str">
        <x:v>Preguntas de control antes de comprar</x:v>
      </x:c>
      <x:c r="E29" s="36" t="str">
        <x:v>Preguntas de control antes de comprar</x:v>
      </x:c>
      <x:c r="F29" s="36" t="str">
        <x:v>Preguntas de control antes de comprar</x:v>
      </x:c>
      <x:c r="G29" s="36" t="str">
        <x:v>Preguntas de control antes de comprar</x:v>
      </x:c>
      <x:c r="H29" s="36" t="str">
        <x:v>Preguntas de control antes de comprar</x:v>
      </x:c>
      <x:c r="I29" s="36" t="str">
        <x:v>Preguntas de control antes de comprar</x:v>
      </x:c>
      <x:c r="J29" s="36" t="str">
        <x:v>Preguntas de control antes de comprar</x:v>
      </x:c>
      <x:c r="K29" s="36" t="str">
        <x:v>Preguntas de control antes de comprar</x:v>
      </x:c>
      <x:c r="L29" s="36" t="str">
        <x:v>Preguntas de control antes de comprar</x:v>
      </x:c>
      <x:c r="M29" s="36" t="str">
        <x:v>Preguntas de control antes de comprar</x:v>
      </x:c>
      <x:c r="N29" s="36" t="str">
        <x:v>Preguntas de control antes de comprar</x:v>
      </x:c>
      <x:c r="O29" s="36" t="str">
        <x:v>Preguntas de control antes de comprar</x:v>
      </x:c>
    </x:row>
    <x:row r="30" ht="15" hidden="0" customHeight="1">
      <x:c r="A30" s="105" t="str">
        <x:v>1</x:v>
      </x:c>
      <x:c r="B30" s="33" t="str">
        <x:v>¿Puedo explicar cómo gana dinero en dos frases y qué variable mueve el beneficio?</x:v>
      </x:c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</x:row>
    <x:row r="31" ht="15" hidden="0" customHeight="1">
      <x:c r="A31" s="105" t="str">
        <x:v>2</x:v>
      </x:c>
      <x:c r="B31" s="33" t="str">
        <x:v>¿La tesis depende de un catalizador identificable o solo de que el múltiplo se expanda?</x:v>
      </x:c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</x:row>
    <x:row r="32" ht="15" hidden="0" customHeight="1">
      <x:c r="A32" s="105" t="str">
        <x:v>3</x:v>
      </x:c>
      <x:c r="B32" s="33" t="str">
        <x:v>¿El crecimiento llega a beneficio y caja, o solo a ingresos / métricas ajustadas?</x:v>
      </x:c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</x:row>
    <x:row r="33" ht="15" hidden="0" customHeight="1">
      <x:c r="A33" s="105" t="str">
        <x:v>4</x:v>
      </x:c>
      <x:c r="B33" s="33" t="str">
        <x:v>¿Qué PER pagaría por beneficios normalizados y qué precio ofrece margen de seguridad?</x:v>
      </x:c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</x:row>
    <x:row r="34" ht="15" hidden="0" customHeight="1">
      <x:c r="A34" s="105" t="str">
        <x:v>5</x:v>
      </x:c>
      <x:c r="B34" s="33" t="str">
        <x:v>¿Qué dato invalidaría la tesis? Escríbelo antes de comprar.</x:v>
      </x:c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</x:row>
    <x:row r="35" ht="15" hidden="0" customHeight="1">
      <x:c r="A35" s="105" t="str">
        <x:v>6</x:v>
      </x:c>
      <x:c r="B35" s="33" t="str">
        <x:v>¿He leído el último informe, las notas de deuda/dilución y la remuneración directiva?</x:v>
      </x:c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</x:row>
  </x:sheetData>
  <x:mergeCells>
    <x:mergeCell ref="A1:O1"/>
    <x:mergeCell ref="A2:O2"/>
    <x:mergeCell ref="A29:O29"/>
    <x:mergeCell ref="B30:O30"/>
    <x:mergeCell ref="B31:O31"/>
    <x:mergeCell ref="B32:O32"/>
    <x:mergeCell ref="B33:O33"/>
    <x:mergeCell ref="B34:O34"/>
    <x:mergeCell ref="B35:O35"/>
  </x:mergeCells>
  <x:conditionalFormatting sqref="A5:M26">
    <x:cfRule type="cellIs" dxfId="8" priority="1" operator="greaterThanOrEqual">
      <x:formula>12</x:formula>
    </x:cfRule>
  </x:conditionalFormatting>
  <x:dataValidations count="2">
    <x:dataValidation operator="between" sqref="C5:K26">
      <x:formula1>0</x:formula1>
      <x:formula2>2</x:formula2>
    </x:dataValidation>
    <x:dataValidation operator="between" sqref="H5:I26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0b91c6df3204c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12" hidden="0" customWidth="1"/>
    <x:col min="4" max="4" width="12" hidden="0" customWidth="1"/>
    <x:col min="5" max="5" width="10" hidden="0" customWidth="1"/>
    <x:col min="6" max="6" width="18" hidden="0" customWidth="1"/>
    <x:col min="7" max="7" width="12" hidden="0" customWidth="1"/>
    <x:col min="8" max="8" width="18" hidden="0" customWidth="1"/>
    <x:col min="9" max="9" width="12" hidden="0" customWidth="1"/>
    <x:col min="10" max="10" width="16" hidden="0" customWidth="1"/>
    <x:col min="11" max="11" width="10" hidden="0" customWidth="1"/>
    <x:col min="12" max="12" width="12" hidden="0" customWidth="1"/>
    <x:col min="13" max="13" width="20" hidden="0" customWidth="1"/>
    <x:col min="14" max="14" width="42" hidden="0" customWidth="1"/>
    <x:col min="15" max="15" width="14" hidden="0" customWidth="1"/>
    <x:col min="16" max="16" width="40" hidden="0" customWidth="1"/>
  </x:cols>
  <x:sheetData>
    <x:row r="1" ht="19.200000762939453" hidden="0" customHeight="1">
      <x:c r="A1" s="34" t="str">
        <x:v>Historial financiero y operativo</x:v>
      </x:c>
      <x:c r="B1" s="34" t="str">
        <x:v>Historial financiero y operativo</x:v>
      </x:c>
      <x:c r="C1" s="34" t="str">
        <x:v>Historial financiero y operativo</x:v>
      </x:c>
      <x:c r="D1" s="34" t="str">
        <x:v>Historial financiero y operativo</x:v>
      </x:c>
      <x:c r="E1" s="34" t="str">
        <x:v>Historial financiero y operativo</x:v>
      </x:c>
      <x:c r="F1" s="34" t="str">
        <x:v>Historial financiero y operativo</x:v>
      </x:c>
      <x:c r="G1" s="34" t="str">
        <x:v>Historial financiero y operativo</x:v>
      </x:c>
      <x:c r="H1" s="34" t="str">
        <x:v>Historial financiero y operativo</x:v>
      </x:c>
      <x:c r="I1" s="34" t="str">
        <x:v>Historial financiero y operativo</x:v>
      </x:c>
      <x:c r="J1" s="34" t="str">
        <x:v>Historial financiero y operativo</x:v>
      </x:c>
      <x:c r="K1" s="34" t="str">
        <x:v>Historial financiero y operativo</x:v>
      </x:c>
      <x:c r="L1" s="34" t="str">
        <x:v>Historial financiero y operativo</x:v>
      </x:c>
      <x:c r="M1" s="34" t="str">
        <x:v>Historial financiero y operativo</x:v>
      </x:c>
      <x:c r="N1" s="34" t="str">
        <x:v>Historial financiero y operativo</x:v>
      </x:c>
      <x:c r="O1" s="34" t="str">
        <x:v>Historial financiero y operativo</x:v>
      </x:c>
      <x:c r="P1" s="34" t="str">
        <x:v>Historial financiero y operativo</x:v>
      </x:c>
    </x:row>
    <x:row r="2" ht="15" hidden="0" customHeight="1">
      <x:c r="A2" s="8" t="str">
        <x:v>Añade una fila por periodo. Mantén la moneda y el tipo de periodo para no mezclar anual, semestre y trimestre sin advertencia.</x:v>
      </x:c>
      <x:c r="B2" s="8" t="str">
        <x:v>Añade una fila por periodo. Mantén la moneda y el tipo de periodo para no mezclar anual, semestre y trimestre sin advertencia.</x:v>
      </x:c>
      <x:c r="C2" s="8" t="str">
        <x:v>Añade una fila por periodo. Mantén la moneda y el tipo de periodo para no mezclar anual, semestre y trimestre sin advertencia.</x:v>
      </x:c>
      <x:c r="D2" s="8" t="str">
        <x:v>Añade una fila por periodo. Mantén la moneda y el tipo de periodo para no mezclar anual, semestre y trimestre sin advertencia.</x:v>
      </x:c>
      <x:c r="E2" s="8" t="str">
        <x:v>Añade una fila por periodo. Mantén la moneda y el tipo de periodo para no mezclar anual, semestre y trimestre sin advertencia.</x:v>
      </x:c>
      <x:c r="F2" s="8" t="str">
        <x:v>Añade una fila por periodo. Mantén la moneda y el tipo de periodo para no mezclar anual, semestre y trimestre sin advertencia.</x:v>
      </x:c>
      <x:c r="G2" s="8" t="str">
        <x:v>Añade una fila por periodo. Mantén la moneda y el tipo de periodo para no mezclar anual, semestre y trimestre sin advertencia.</x:v>
      </x:c>
      <x:c r="H2" s="8" t="str">
        <x:v>Añade una fila por periodo. Mantén la moneda y el tipo de periodo para no mezclar anual, semestre y trimestre sin advertencia.</x:v>
      </x:c>
      <x:c r="I2" s="8" t="str">
        <x:v>Añade una fila por periodo. Mantén la moneda y el tipo de periodo para no mezclar anual, semestre y trimestre sin advertencia.</x:v>
      </x:c>
      <x:c r="J2" s="8" t="str">
        <x:v>Añade una fila por periodo. Mantén la moneda y el tipo de periodo para no mezclar anual, semestre y trimestre sin advertencia.</x:v>
      </x:c>
      <x:c r="K2" s="8" t="str">
        <x:v>Añade una fila por periodo. Mantén la moneda y el tipo de periodo para no mezclar anual, semestre y trimestre sin advertencia.</x:v>
      </x:c>
      <x:c r="L2" s="8" t="str">
        <x:v>Añade una fila por periodo. Mantén la moneda y el tipo de periodo para no mezclar anual, semestre y trimestre sin advertencia.</x:v>
      </x:c>
      <x:c r="M2" s="8" t="str">
        <x:v>Añade una fila por periodo. Mantén la moneda y el tipo de periodo para no mezclar anual, semestre y trimestre sin advertencia.</x:v>
      </x:c>
      <x:c r="N2" s="8" t="str">
        <x:v>Añade una fila por periodo. Mantén la moneda y el tipo de periodo para no mezclar anual, semestre y trimestre sin advertencia.</x:v>
      </x:c>
      <x:c r="O2" s="8" t="str">
        <x:v>Añade una fila por periodo. Mantén la moneda y el tipo de periodo para no mezclar anual, semestre y trimestre sin advertencia.</x:v>
      </x:c>
      <x:c r="P2" s="8" t="str">
        <x:v>Añade una fila por periodo. Mantén la moneda y el tipo de periodo para no mezclar anual, semestre y trimestre sin advertencia.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</x:row>
    <x:row r="4" ht="48" hidden="0" customHeight="1">
      <x:c r="A4" s="20" t="str">
        <x:v>Empresa</x:v>
      </x:c>
      <x:c r="B4" s="20" t="str">
        <x:v>Ticker</x:v>
      </x:c>
      <x:c r="C4" s="20" t="str">
        <x:v>Periodo</x:v>
      </x:c>
      <x:c r="D4" s="20" t="str">
        <x:v>Tipo</x:v>
      </x:c>
      <x:c r="E4" s="20" t="str">
        <x:v>Moneda</x:v>
      </x:c>
      <x:c r="F4" s="20" t="str">
        <x:v>Ventas / net contribution (m)</x:v>
      </x:c>
      <x:c r="G4" s="20" t="str">
        <x:v>Crec. ventas</x:v>
      </x:c>
      <x:c r="H4" s="20" t="str">
        <x:v>EBITDA / op. profit (m)</x:v>
      </x:c>
      <x:c r="I4" s="20" t="str">
        <x:v>Crec. EBITDA</x:v>
      </x:c>
      <x:c r="J4" s="20" t="str">
        <x:v>Beneficio / PAT (m)</x:v>
      </x:c>
      <x:c r="K4" s="20" t="str">
        <x:v>EPS</x:v>
      </x:c>
      <x:c r="L4" s="20" t="str">
        <x:v>FCF (m)</x:v>
      </x:c>
      <x:c r="M4" s="20" t="str">
        <x:v>Caja neta (-) / deuda neta (+) (m)</x:v>
      </x:c>
      <x:c r="N4" s="20" t="str">
        <x:v>KPI operativo</x:v>
      </x:c>
      <x:c r="O4" s="20" t="str">
        <x:v>Fuente ID</x:v>
      </x:c>
      <x:c r="P4" s="20" t="str">
        <x:v>Nota</x:v>
      </x:c>
    </x:row>
    <x:row r="5" ht="52.79999923706055" hidden="0" customHeight="1">
      <x:c r="A5" s="58" t="str">
        <x:v>Atalaya Mining</x:v>
      </x:c>
      <x:c r="B5" s="58" t="str">
        <x:v>ATYM</x:v>
      </x:c>
      <x:c r="C5" s="58" t="str">
        <x:v>FY2024</x:v>
      </x:c>
      <x:c r="D5" s="58" t="str">
        <x:v>Anual</x:v>
      </x:c>
      <x:c r="E5" s="58" t="str">
        <x:v>EUR</x:v>
      </x:c>
      <x:c r="F5" s="61" t="n">
        <x:v>326.8</x:v>
      </x:c>
      <x:c r="G5" s="63"/>
      <x:c r="H5" s="61" t="n">
        <x:v>66.4</x:v>
      </x:c>
      <x:c r="I5" s="63"/>
      <x:c r="J5" s="61" t="n">
        <x:v>32.6</x:v>
      </x:c>
      <x:c r="K5" s="61" t="n">
        <x:v>0.226</x:v>
      </x:c>
      <x:c r="L5" s="61"/>
      <x:c r="M5" s="61"/>
      <x:c r="N5" s="58" t="str">
        <x:v>Producción cobre: periodo anterior</x:v>
      </x:c>
      <x:c r="O5" s="58" t="str">
        <x:v>ATYM-FY25</x:v>
      </x:c>
      <x:c r="P5" s="58" t="str">
        <x:v>Comparativa del informe FY25</x:v>
      </x:c>
    </x:row>
    <x:row r="6" ht="52.79999923706055" hidden="0" customHeight="1">
      <x:c r="A6" s="58" t="str">
        <x:v>Atalaya Mining</x:v>
      </x:c>
      <x:c r="B6" s="58" t="str">
        <x:v>ATYM</x:v>
      </x:c>
      <x:c r="C6" s="58" t="str">
        <x:v>FY2025</x:v>
      </x:c>
      <x:c r="D6" s="58" t="str">
        <x:v>Anual</x:v>
      </x:c>
      <x:c r="E6" s="58" t="str">
        <x:v>EUR</x:v>
      </x:c>
      <x:c r="F6" s="61" t="n">
        <x:v>482.9</x:v>
      </x:c>
      <x:c r="G6" s="63" t="n">
        <x:v>0.478</x:v>
      </x:c>
      <x:c r="H6" s="61" t="n">
        <x:v>179.8</x:v>
      </x:c>
      <x:c r="I6" s="63" t="n">
        <x:v>1.708</x:v>
      </x:c>
      <x:c r="J6" s="61" t="n">
        <x:v>85.4</x:v>
      </x:c>
      <x:c r="K6" s="61" t="n">
        <x:v>0.608</x:v>
      </x:c>
      <x:c r="L6" s="61" t="n">
        <x:v>107.4</x:v>
      </x:c>
      <x:c r="M6" s="61" t="n">
        <x:v>-122</x:v>
      </x:c>
      <x:c r="N6" s="58" t="str">
        <x:v>Cobre; caja neta FY25</x:v>
      </x:c>
      <x:c r="O6" s="58" t="str">
        <x:v>ATYM-FY25</x:v>
      </x:c>
      <x:c r="P6" s="58" t="str">
        <x:v>Caja de Q2 2026 separada abajo</x:v>
      </x:c>
    </x:row>
    <x:row r="7" ht="92.4000015258789" hidden="0" customHeight="1">
      <x:c r="A7" s="58" t="str">
        <x:v>Atalaya Mining</x:v>
      </x:c>
      <x:c r="B7" s="58" t="str">
        <x:v>ATYM</x:v>
      </x:c>
      <x:c r="C7" s="58" t="str">
        <x:v>Q2 2026</x:v>
      </x:c>
      <x:c r="D7" s="58" t="str">
        <x:v>Trimestral</x:v>
      </x:c>
      <x:c r="E7" s="58" t="str">
        <x:v>EUR</x:v>
      </x:c>
      <x:c r="F7" s="61"/>
      <x:c r="G7" s="63"/>
      <x:c r="H7" s="61"/>
      <x:c r="I7" s="63"/>
      <x:c r="J7" s="61"/>
      <x:c r="K7" s="61"/>
      <x:c r="L7" s="61"/>
      <x:c r="M7" s="61" t="n">
        <x:v>-318.4</x:v>
      </x:c>
      <x:c r="N7" s="58" t="str">
        <x:v>Producción 13.493 kt; inventario 11.362 kt</x:v>
      </x:c>
      <x:c r="O7" s="58" t="str">
        <x:v>ATYM-Q2-26</x:v>
      </x:c>
      <x:c r="P7" s="58" t="str">
        <x:v>Actualización operativa, no cuenta de resultados completa</x:v>
      </x:c>
    </x:row>
    <x:row r="8" ht="52.79999923706055" hidden="0" customHeight="1">
      <x:c r="A8" s="58" t="str">
        <x:v>Rio Tinto</x:v>
      </x:c>
      <x:c r="B8" s="58" t="str">
        <x:v>RIO</x:v>
      </x:c>
      <x:c r="C8" s="58" t="str">
        <x:v>FY2025</x:v>
      </x:c>
      <x:c r="D8" s="58" t="str">
        <x:v>Anual</x:v>
      </x:c>
      <x:c r="E8" s="58" t="str">
        <x:v>USD</x:v>
      </x:c>
      <x:c r="F8" s="61" t="n">
        <x:v>57638</x:v>
      </x:c>
      <x:c r="G8" s="63"/>
      <x:c r="H8" s="61" t="n">
        <x:v>25363</x:v>
      </x:c>
      <x:c r="I8" s="63"/>
      <x:c r="J8" s="61" t="n">
        <x:v>9966</x:v>
      </x:c>
      <x:c r="K8" s="61"/>
      <x:c r="L8" s="61" t="n">
        <x:v>4025</x:v>
      </x:c>
      <x:c r="M8" s="61" t="n">
        <x:v>14362</x:v>
      </x:c>
      <x:c r="N8" s="58" t="str">
        <x:v>Producción / cobre; dividendo 402c</x:v>
      </x:c>
      <x:c r="O8" s="58" t="str">
        <x:v>RIO-FY25</x:v>
      </x:c>
      <x:c r="P8" s="58" t="str">
        <x:v>Resultados oficiales FY25</x:v>
      </x:c>
    </x:row>
    <x:row r="9" ht="52.79999923706055" hidden="0" customHeight="1">
      <x:c r="A9" s="58" t="str">
        <x:v>Rio Tinto</x:v>
      </x:c>
      <x:c r="B9" s="58" t="str">
        <x:v>RIO</x:v>
      </x:c>
      <x:c r="C9" s="58" t="str">
        <x:v>H1 2026</x:v>
      </x:c>
      <x:c r="D9" s="58" t="str">
        <x:v>Semestral</x:v>
      </x:c>
      <x:c r="E9" s="58" t="str">
        <x:v>USD</x:v>
      </x:c>
      <x:c r="F9" s="61" t="n">
        <x:v>31028</x:v>
      </x:c>
      <x:c r="G9" s="63"/>
      <x:c r="H9" s="61" t="n">
        <x:v>14826</x:v>
      </x:c>
      <x:c r="I9" s="63"/>
      <x:c r="J9" s="61" t="n">
        <x:v>6851</x:v>
      </x:c>
      <x:c r="K9" s="61"/>
      <x:c r="L9" s="61" t="n">
        <x:v>3834</x:v>
      </x:c>
      <x:c r="M9" s="61" t="n">
        <x:v>14061</x:v>
      </x:c>
      <x:c r="N9" s="58" t="str">
        <x:v>Producción +8% y disciplina de costes</x:v>
      </x:c>
      <x:c r="O9" s="58" t="str">
        <x:v>RIO-H1-26</x:v>
      </x:c>
      <x:c r="P9" s="58" t="str">
        <x:v>Presentación/resultados H1</x:v>
      </x:c>
    </x:row>
    <x:row r="10" ht="92.4000015258789" hidden="0" customHeight="1">
      <x:c r="A10" s="58" t="str">
        <x:v>eToro</x:v>
      </x:c>
      <x:c r="B10" s="58" t="str">
        <x:v>ETOR</x:v>
      </x:c>
      <x:c r="C10" s="58" t="str">
        <x:v>FY2025</x:v>
      </x:c>
      <x:c r="D10" s="58" t="str">
        <x:v>Anual</x:v>
      </x:c>
      <x:c r="E10" s="58" t="str">
        <x:v>USD</x:v>
      </x:c>
      <x:c r="F10" s="61" t="n">
        <x:v>868</x:v>
      </x:c>
      <x:c r="G10" s="63" t="n">
        <x:v>0.1</x:v>
      </x:c>
      <x:c r="H10" s="61" t="n">
        <x:v>317</x:v>
      </x:c>
      <x:c r="I10" s="63" t="n">
        <x:v>0.04</x:v>
      </x:c>
      <x:c r="J10" s="61" t="n">
        <x:v>216</x:v>
      </x:c>
      <x:c r="K10" s="61" t="n">
        <x:v>2.64</x:v>
      </x:c>
      <x:c r="L10" s="61"/>
      <x:c r="M10" s="61" t="n">
        <x:v>-1300</x:v>
      </x:c>
      <x:c r="N10" s="58" t="str">
        <x:v>AUA / cuentas financiadas</x:v>
      </x:c>
      <x:c r="O10" s="58" t="str">
        <x:v>ETOR-FY25</x:v>
      </x:c>
      <x:c r="P10" s="58" t="str">
        <x:v>Net contribution, no revenue GAAP comparable</x:v>
      </x:c>
    </x:row>
    <x:row r="11" ht="66" hidden="0" customHeight="1">
      <x:c r="A11" s="58" t="str">
        <x:v>eToro</x:v>
      </x:c>
      <x:c r="B11" s="58" t="str">
        <x:v>ETOR</x:v>
      </x:c>
      <x:c r="C11" s="58" t="str">
        <x:v>Q1 2026</x:v>
      </x:c>
      <x:c r="D11" s="58" t="str">
        <x:v>Trimestral</x:v>
      </x:c>
      <x:c r="E11" s="58" t="str">
        <x:v>USD</x:v>
      </x:c>
      <x:c r="F11" s="61" t="n">
        <x:v>258</x:v>
      </x:c>
      <x:c r="G11" s="63" t="n">
        <x:v>0.19</x:v>
      </x:c>
      <x:c r="H11" s="61" t="n">
        <x:v>109</x:v>
      </x:c>
      <x:c r="I11" s="63" t="n">
        <x:v>0.35</x:v>
      </x:c>
      <x:c r="J11" s="61" t="n">
        <x:v>82</x:v>
      </x:c>
      <x:c r="K11" s="61"/>
      <x:c r="L11" s="61"/>
      <x:c r="M11" s="61" t="n">
        <x:v>-1300</x:v>
      </x:c>
      <x:c r="N11" s="58" t="str">
        <x:v>AUA 17.0bn; funded accounts 4.02m</x:v>
      </x:c>
      <x:c r="O11" s="58" t="str">
        <x:v>ETOR-Q1-26</x:v>
      </x:c>
      <x:c r="P11" s="58" t="str">
        <x:v>Crecimientos interanuales</x:v>
      </x:c>
    </x:row>
    <x:row r="12" ht="79.19999694824219" hidden="0" customHeight="1">
      <x:c r="A12" s="58" t="str">
        <x:v>HBX Group</x:v>
      </x:c>
      <x:c r="B12" s="58" t="str">
        <x:v>HBX</x:v>
      </x:c>
      <x:c r="C12" s="58" t="str">
        <x:v>H1 2026</x:v>
      </x:c>
      <x:c r="D12" s="58" t="str">
        <x:v>Semestral</x:v>
      </x:c>
      <x:c r="E12" s="58" t="str">
        <x:v>EUR</x:v>
      </x:c>
      <x:c r="F12" s="61" t="n">
        <x:v>309</x:v>
      </x:c>
      <x:c r="G12" s="63" t="n">
        <x:v>0.01</x:v>
      </x:c>
      <x:c r="H12" s="61" t="n">
        <x:v>163</x:v>
      </x:c>
      <x:c r="I12" s="63" t="n">
        <x:v>0.09</x:v>
      </x:c>
      <x:c r="J12" s="61" t="n">
        <x:v>28</x:v>
      </x:c>
      <x:c r="K12" s="61"/>
      <x:c r="L12" s="61"/>
      <x:c r="M12" s="61" t="n">
        <x:v>741</x:v>
      </x:c>
      <x:c r="N12" s="58" t="str">
        <x:v>TTV 3.77bn +17% CC; cash conversion 103%</x:v>
      </x:c>
      <x:c r="O12" s="58" t="str">
        <x:v>HBX-H1-26</x:v>
      </x:c>
      <x:c r="P12" s="58" t="str">
        <x:v>Guía FY26 revisada a la baja</x:v>
      </x:c>
    </x:row>
    <x:row r="13" ht="79.19999694824219" hidden="0" customHeight="1">
      <x:c r="A13" s="58" t="str">
        <x:v>Figma</x:v>
      </x:c>
      <x:c r="B13" s="58" t="str">
        <x:v>FIG</x:v>
      </x:c>
      <x:c r="C13" s="58" t="str">
        <x:v>FY2025</x:v>
      </x:c>
      <x:c r="D13" s="58" t="str">
        <x:v>Anual</x:v>
      </x:c>
      <x:c r="E13" s="58" t="str">
        <x:v>USD</x:v>
      </x:c>
      <x:c r="F13" s="61" t="n">
        <x:v>1056</x:v>
      </x:c>
      <x:c r="G13" s="63" t="n">
        <x:v>0.41</x:v>
      </x:c>
      <x:c r="H13" s="61" t="n">
        <x:v>129.5</x:v>
      </x:c>
      <x:c r="I13" s="63"/>
      <x:c r="J13" s="61"/>
      <x:c r="K13" s="61"/>
      <x:c r="L13" s="61" t="n">
        <x:v>242.7</x:v>
      </x:c>
      <x:c r="M13" s="61" t="n">
        <x:v>-1700</x:v>
      </x:c>
      <x:c r="N13" s="58" t="str">
        <x:v>NDR / clientes empresariales</x:v>
      </x:c>
      <x:c r="O13" s="58" t="str">
        <x:v>FIG-FY25</x:v>
      </x:c>
      <x:c r="P13" s="58" t="str">
        <x:v>Operating profit non-GAAP; SBC distorsiona GAAP</x:v>
      </x:c>
    </x:row>
    <x:row r="14" ht="66" hidden="0" customHeight="1">
      <x:c r="A14" s="58" t="str">
        <x:v>Figma</x:v>
      </x:c>
      <x:c r="B14" s="58" t="str">
        <x:v>FIG</x:v>
      </x:c>
      <x:c r="C14" s="58" t="str">
        <x:v>Q1 2026</x:v>
      </x:c>
      <x:c r="D14" s="58" t="str">
        <x:v>Trimestral</x:v>
      </x:c>
      <x:c r="E14" s="58" t="str">
        <x:v>USD</x:v>
      </x:c>
      <x:c r="F14" s="61" t="n">
        <x:v>333.4</x:v>
      </x:c>
      <x:c r="G14" s="63" t="n">
        <x:v>0.46</x:v>
      </x:c>
      <x:c r="H14" s="61" t="n">
        <x:v>52.1</x:v>
      </x:c>
      <x:c r="I14" s="63"/>
      <x:c r="J14" s="61" t="n">
        <x:v>-142.4</x:v>
      </x:c>
      <x:c r="K14" s="61"/>
      <x:c r="L14" s="61" t="n">
        <x:v>88.6</x:v>
      </x:c>
      <x:c r="M14" s="61" t="n">
        <x:v>-1600</x:v>
      </x:c>
      <x:c r="N14" s="58" t="str">
        <x:v>NDR 139%; paid customers ~690k</x:v>
      </x:c>
      <x:c r="O14" s="58" t="str">
        <x:v>FIG-Q1-26</x:v>
      </x:c>
      <x:c r="P14" s="58" t="str">
        <x:v>Cash and securities</x:v>
      </x:c>
    </x:row>
    <x:row r="15" ht="66" hidden="0" customHeight="1">
      <x:c r="A15" s="58" t="str">
        <x:v>JD Sports Fashion</x:v>
      </x:c>
      <x:c r="B15" s="58" t="str">
        <x:v>JD.</x:v>
      </x:c>
      <x:c r="C15" s="58" t="str">
        <x:v>FY2026</x:v>
      </x:c>
      <x:c r="D15" s="58" t="str">
        <x:v>Anual</x:v>
      </x:c>
      <x:c r="E15" s="58" t="str">
        <x:v>GBP</x:v>
      </x:c>
      <x:c r="F15" s="61" t="n">
        <x:v>12662</x:v>
      </x:c>
      <x:c r="G15" s="63" t="n">
        <x:v>0.105</x:v>
      </x:c>
      <x:c r="H15" s="61" t="n">
        <x:v>886</x:v>
      </x:c>
      <x:c r="I15" s="63" t="n">
        <x:v>-0.054</x:v>
      </x:c>
      <x:c r="J15" s="61"/>
      <x:c r="K15" s="61" t="n">
        <x:v>0.0863</x:v>
      </x:c>
      <x:c r="L15" s="61" t="n">
        <x:v>462</x:v>
      </x:c>
      <x:c r="M15" s="61"/>
      <x:c r="N15" s="58" t="str">
        <x:v>Q4 returned to LFL growth</x:v>
      </x:c>
      <x:c r="O15" s="58" t="str">
        <x:v>JD-FY26</x:v>
      </x:c>
      <x:c r="P15" s="58" t="str">
        <x:v>EPS estatutario 8.63p; op profit ajustado</x:v>
      </x:c>
    </x:row>
    <x:row r="16" ht="66" hidden="0" customHeight="1">
      <x:c r="A16" s="58" t="str">
        <x:v>PayPal</x:v>
      </x:c>
      <x:c r="B16" s="58" t="str">
        <x:v>PYPL</x:v>
      </x:c>
      <x:c r="C16" s="58" t="str">
        <x:v>FY2025</x:v>
      </x:c>
      <x:c r="D16" s="58" t="str">
        <x:v>Anual</x:v>
      </x:c>
      <x:c r="E16" s="58" t="str">
        <x:v>USD</x:v>
      </x:c>
      <x:c r="F16" s="61"/>
      <x:c r="G16" s="63"/>
      <x:c r="H16" s="61"/>
      <x:c r="I16" s="63"/>
      <x:c r="J16" s="61"/>
      <x:c r="K16" s="61"/>
      <x:c r="L16" s="61" t="n">
        <x:v>6400</x:v>
      </x:c>
      <x:c r="M16" s="61"/>
      <x:c r="N16" s="58" t="str">
        <x:v>Recompras 6.0bn; dividendo trimestral 0.14</x:v>
      </x:c>
      <x:c r="O16" s="58" t="str">
        <x:v>PYPL-FY25</x:v>
      </x:c>
      <x:c r="P16" s="58" t="str">
        <x:v>FCF ajustado</x:v>
      </x:c>
    </x:row>
    <x:row r="17" ht="79.19999694824219" hidden="0" customHeight="1">
      <x:c r="A17" s="58" t="str">
        <x:v>PayPal</x:v>
      </x:c>
      <x:c r="B17" s="58" t="str">
        <x:v>PYPL</x:v>
      </x:c>
      <x:c r="C17" s="58" t="str">
        <x:v>Q1 2026</x:v>
      </x:c>
      <x:c r="D17" s="58" t="str">
        <x:v>Trimestral</x:v>
      </x:c>
      <x:c r="E17" s="58" t="str">
        <x:v>USD</x:v>
      </x:c>
      <x:c r="F17" s="61" t="n">
        <x:v>8400</x:v>
      </x:c>
      <x:c r="G17" s="63" t="n">
        <x:v>0.07</x:v>
      </x:c>
      <x:c r="H17" s="61"/>
      <x:c r="I17" s="63"/>
      <x:c r="J17" s="61"/>
      <x:c r="K17" s="61"/>
      <x:c r="L17" s="61" t="n">
        <x:v>1700</x:v>
      </x:c>
      <x:c r="M17" s="61"/>
      <x:c r="N17" s="58" t="str">
        <x:v>TPV 464bn +11%; branded checkout +2%</x:v>
      </x:c>
      <x:c r="O17" s="58" t="str">
        <x:v>PYPL-Q1-26</x:v>
      </x:c>
      <x:c r="P17" s="58" t="str">
        <x:v>Cifras trimestrales</x:v>
      </x:c>
    </x:row>
    <x:row r="18" ht="118.80000305175781" hidden="0" customHeight="1">
      <x:c r="A18" s="58" t="str">
        <x:v>Wise</x:v>
      </x:c>
      <x:c r="B18" s="58" t="str">
        <x:v>WISE</x:v>
      </x:c>
      <x:c r="C18" s="58" t="str">
        <x:v>FY2026</x:v>
      </x:c>
      <x:c r="D18" s="58" t="str">
        <x:v>Anual</x:v>
      </x:c>
      <x:c r="E18" s="58" t="str">
        <x:v>USD</x:v>
      </x:c>
      <x:c r="F18" s="61" t="n">
        <x:v>2502.8</x:v>
      </x:c>
      <x:c r="G18" s="63" t="n">
        <x:v>0.19</x:v>
      </x:c>
      <x:c r="H18" s="61" t="n">
        <x:v>590.7</x:v>
      </x:c>
      <x:c r="I18" s="63" t="n">
        <x:v>-0.189</x:v>
      </x:c>
      <x:c r="J18" s="61" t="n">
        <x:v>498.7</x:v>
      </x:c>
      <x:c r="K18" s="61" t="n">
        <x:v>0.4843</x:v>
      </x:c>
      <x:c r="L18" s="61" t="n">
        <x:v>407.6</x:v>
      </x:c>
      <x:c r="M18" s="61" t="n">
        <x:v>-468</x:v>
      </x:c>
      <x:c r="N18" s="58" t="str">
        <x:v>19m clientes; volumen cross-border 243.5bn; holdings 39bn</x:v>
      </x:c>
      <x:c r="O18" s="58" t="str">
        <x:v>WISE-FY26</x:v>
      </x:c>
      <x:c r="P18" s="58" t="str">
        <x:v>FCF y caja son proxies: el flujo incluye fondos de clientes salvaguardados</x:v>
      </x:c>
    </x:row>
    <x:row r="19" ht="92.4000015258789" hidden="0" customHeight="1">
      <x:c r="A19" s="58" t="str">
        <x:v>Wise</x:v>
      </x:c>
      <x:c r="B19" s="58" t="str">
        <x:v>WISE</x:v>
      </x:c>
      <x:c r="C19" s="58" t="str">
        <x:v>Q1 FY2027</x:v>
      </x:c>
      <x:c r="D19" s="58" t="str">
        <x:v>Trimestral</x:v>
      </x:c>
      <x:c r="E19" s="58" t="str">
        <x:v>USD</x:v>
      </x:c>
      <x:c r="F19" s="61" t="n">
        <x:v>714</x:v>
      </x:c>
      <x:c r="G19" s="63" t="n">
        <x:v>0.25</x:v>
      </x:c>
      <x:c r="H19" s="61"/>
      <x:c r="I19" s="63"/>
      <x:c r="J19" s="61"/>
      <x:c r="K19" s="61"/>
      <x:c r="L19" s="61"/>
      <x:c r="M19" s="61"/>
      <x:c r="N19" s="58" t="str">
        <x:v>11.863m clientes; volumen 69.3bn; take rate 50bps</x:v>
      </x:c>
      <x:c r="O19" s="58" t="str">
        <x:v>WISE-Q1-27</x:v>
      </x:c>
      <x:c r="P19" s="58" t="str">
        <x:v>Actualización operativa; no cuenta de resultados completa</x:v>
      </x:c>
    </x:row>
    <x:row r="20" ht="79.19999694824219" hidden="0" customHeight="1">
      <x:c r="A20" s="58" t="str">
        <x:v>Auto Trader</x:v>
      </x:c>
      <x:c r="B20" s="58" t="str">
        <x:v>AUTO</x:v>
      </x:c>
      <x:c r="C20" s="58" t="str">
        <x:v>FY2026</x:v>
      </x:c>
      <x:c r="D20" s="58" t="str">
        <x:v>Anual</x:v>
      </x:c>
      <x:c r="E20" s="58" t="str">
        <x:v>GBP</x:v>
      </x:c>
      <x:c r="F20" s="61" t="n">
        <x:v>624.3</x:v>
      </x:c>
      <x:c r="G20" s="63" t="n">
        <x:v>0.04</x:v>
      </x:c>
      <x:c r="H20" s="61" t="n">
        <x:v>392.7</x:v>
      </x:c>
      <x:c r="I20" s="63" t="n">
        <x:v>0.04</x:v>
      </x:c>
      <x:c r="J20" s="61" t="n">
        <x:v>293.9</x:v>
      </x:c>
      <x:c r="K20" s="61" t="n">
        <x:v>0.3417</x:v>
      </x:c>
      <x:c r="L20" s="61" t="n">
        <x:v>306.1</x:v>
      </x:c>
      <x:c r="M20" s="61" t="n">
        <x:v>146.8</x:v>
      </x:c>
      <x:c r="N20" s="58" t="str">
        <x:v>ARPR 2,995 GBP +5%; forecourts 13,942</x:v>
      </x:c>
      <x:c r="O20" s="58" t="str">
        <x:v>AUTO-FY26</x:v>
      </x:c>
      <x:c r="P20" s="58" t="str">
        <x:v>FCF aproximado: caja operativa neta más inversión</x:v>
      </x:c>
    </x:row>
    <x:row r="21" ht="105.5999984741211" hidden="0" customHeight="1">
      <x:c r="A21" s="58" t="str">
        <x:v>B&amp;M European Value Retail</x:v>
      </x:c>
      <x:c r="B21" s="58" t="str">
        <x:v>BME</x:v>
      </x:c>
      <x:c r="C21" s="58" t="str">
        <x:v>FY2026</x:v>
      </x:c>
      <x:c r="D21" s="58" t="str">
        <x:v>Anual</x:v>
      </x:c>
      <x:c r="E21" s="58" t="str">
        <x:v>GBP</x:v>
      </x:c>
      <x:c r="F21" s="61" t="n">
        <x:v>5775</x:v>
      </x:c>
      <x:c r="G21" s="63" t="n">
        <x:v>0.036</x:v>
      </x:c>
      <x:c r="H21" s="61" t="n">
        <x:v>459</x:v>
      </x:c>
      <x:c r="I21" s="63" t="n">
        <x:v>-0.259</x:v>
      </x:c>
      <x:c r="J21" s="61" t="n">
        <x:v>284</x:v>
      </x:c>
      <x:c r="K21" s="61" t="n">
        <x:v>0.213</x:v>
      </x:c>
      <x:c r="L21" s="61" t="n">
        <x:v>321</x:v>
      </x:c>
      <x:c r="M21" s="61" t="n">
        <x:v>656</x:v>
      </x:c>
      <x:c r="N21" s="58" t="str">
        <x:v>Margen EBITDA 8.0%; UK plano; Francia +13.4%</x:v>
      </x:c>
      <x:c r="O21" s="58" t="str">
        <x:v>BME-FY26</x:v>
      </x:c>
      <x:c r="P21" s="58" t="str">
        <x:v>Se usa PBT ajustado como proxy de beneficio en la cabecera</x:v>
      </x:c>
    </x:row>
    <x:row r="22" ht="92.4000015258789" hidden="0" customHeight="1">
      <x:c r="A22" s="58" t="str">
        <x:v>B&amp;M European Value Retail</x:v>
      </x:c>
      <x:c r="B22" s="58" t="str">
        <x:v>BME</x:v>
      </x:c>
      <x:c r="C22" s="58" t="str">
        <x:v>Q1 FY2027</x:v>
      </x:c>
      <x:c r="D22" s="58" t="str">
        <x:v>Trimestral</x:v>
      </x:c>
      <x:c r="E22" s="58" t="str">
        <x:v>GBP</x:v>
      </x:c>
      <x:c r="F22" s="61" t="n">
        <x:v>1433</x:v>
      </x:c>
      <x:c r="G22" s="63" t="n">
        <x:v>0.02</x:v>
      </x:c>
      <x:c r="H22" s="61"/>
      <x:c r="I22" s="63"/>
      <x:c r="J22" s="61"/>
      <x:c r="K22" s="61"/>
      <x:c r="L22" s="61"/>
      <x:c r="M22" s="61"/>
      <x:c r="N22" s="58" t="str">
        <x:v>UK LFL -2.3%; Francia LFL +5.3%; Heron LFL +2.6%</x:v>
      </x:c>
      <x:c r="O22" s="58" t="str">
        <x:v>BME-Q1-27</x:v>
      </x:c>
      <x:c r="P22" s="58" t="str">
        <x:v>Actualización operativa; no cuenta de resultados completa</x:v>
      </x:c>
    </x:row>
    <x:row r="23" ht="118.80000305175781" hidden="0" customHeight="1">
      <x:c r="A23" s="58" t="str">
        <x:v>Kainos Group</x:v>
      </x:c>
      <x:c r="B23" s="58" t="str">
        <x:v>KNOS</x:v>
      </x:c>
      <x:c r="C23" s="58" t="str">
        <x:v>FY2026</x:v>
      </x:c>
      <x:c r="D23" s="58" t="str">
        <x:v>Anual</x:v>
      </x:c>
      <x:c r="E23" s="58" t="str">
        <x:v>GBP</x:v>
      </x:c>
      <x:c r="F23" s="61" t="n">
        <x:v>431.1</x:v>
      </x:c>
      <x:c r="G23" s="63" t="n">
        <x:v>0.17</x:v>
      </x:c>
      <x:c r="H23" s="61" t="n">
        <x:v>67.1</x:v>
      </x:c>
      <x:c r="I23" s="63" t="n">
        <x:v>0.02</x:v>
      </x:c>
      <x:c r="J23" s="61" t="n">
        <x:v>42.5</x:v>
      </x:c>
      <x:c r="K23" s="61" t="n">
        <x:v>0.351</x:v>
      </x:c>
      <x:c r="L23" s="61" t="n">
        <x:v>49.7</x:v>
      </x:c>
      <x:c r="M23" s="61" t="n">
        <x:v>-89.1</x:v>
      </x:c>
      <x:c r="N23" s="58" t="str">
        <x:v>Bookings 505.3m; backlog 433.9m; ARR 89.0m</x:v>
      </x:c>
      <x:c r="O23" s="58" t="str">
        <x:v>KNOS-FY26</x:v>
      </x:c>
      <x:c r="P23" s="58" t="str">
        <x:v>FCF aproximado: caja operativa neta menos capex; adquisición excluida</x:v>
      </x:c>
    </x:row>
    <x:row r="24" ht="92.4000015258789" hidden="0" customHeight="1">
      <x:c r="A24" s="58" t="str">
        <x:v>Plus500</x:v>
      </x:c>
      <x:c r="B24" s="58" t="str">
        <x:v>PLUS</x:v>
      </x:c>
      <x:c r="C24" s="58" t="str">
        <x:v>FY2025</x:v>
      </x:c>
      <x:c r="D24" s="58" t="str">
        <x:v>Anual</x:v>
      </x:c>
      <x:c r="E24" s="58" t="str">
        <x:v>USD</x:v>
      </x:c>
      <x:c r="F24" s="61" t="n">
        <x:v>792.4</x:v>
      </x:c>
      <x:c r="G24" s="63" t="n">
        <x:v>0.03</x:v>
      </x:c>
      <x:c r="H24" s="61" t="n">
        <x:v>348.1</x:v>
      </x:c>
      <x:c r="I24" s="63" t="n">
        <x:v>0.02</x:v>
      </x:c>
      <x:c r="J24" s="61" t="n">
        <x:v>281.3</x:v>
      </x:c>
      <x:c r="K24" s="61" t="n">
        <x:v>3.93</x:v>
      </x:c>
      <x:c r="L24" s="61" t="n">
        <x:v>280.1</x:v>
      </x:c>
      <x:c r="M24" s="61" t="n">
        <x:v>-801.6</x:v>
      </x:c>
      <x:c r="N24" s="58" t="str">
        <x:v>242,440 clientes activos; 39% del capital en treasury</x:v>
      </x:c>
      <x:c r="O24" s="58" t="str">
        <x:v>PLUS-FY25</x:v>
      </x:c>
      <x:c r="P24" s="58" t="str">
        <x:v>FCF aproximado: caja operativa neta menos capex</x:v>
      </x:c>
    </x:row>
    <x:row r="25" ht="105.5999984741211" hidden="0" customHeight="1">
      <x:c r="A25" s="58" t="str">
        <x:v>Plus500</x:v>
      </x:c>
      <x:c r="B25" s="58" t="str">
        <x:v>PLUS</x:v>
      </x:c>
      <x:c r="C25" s="58" t="str">
        <x:v>H1 FY2026</x:v>
      </x:c>
      <x:c r="D25" s="58" t="str">
        <x:v>Semestral</x:v>
      </x:c>
      <x:c r="E25" s="58" t="str">
        <x:v>USD</x:v>
      </x:c>
      <x:c r="F25" s="61" t="n">
        <x:v>462.9</x:v>
      </x:c>
      <x:c r="G25" s="63" t="n">
        <x:v>0.12</x:v>
      </x:c>
      <x:c r="H25" s="61" t="n">
        <x:v>187.5</x:v>
      </x:c>
      <x:c r="I25" s="63" t="n">
        <x:v>0.01</x:v>
      </x:c>
      <x:c r="J25" s="61"/>
      <x:c r="K25" s="61"/>
      <x:c r="L25" s="61"/>
      <x:c r="M25" s="61" t="n">
        <x:v>-850</x:v>
      </x:c>
      <x:c r="N25" s="58" t="str">
        <x:v>Customer Income 460.8m +24%; activos 197,294 +10%</x:v>
      </x:c>
      <x:c r="O25" s="58" t="str">
        <x:v>PLUS-H1-26</x:v>
      </x:c>
      <x:c r="P25" s="58" t="str">
        <x:v>Trading update; resultados H1 completos el 10-ago-2026</x:v>
      </x:c>
    </x:row>
    <x:row r="26" ht="105.5999984741211" hidden="0" customHeight="1">
      <x:c r="A26" s="58" t="str">
        <x:v>Rightmove</x:v>
      </x:c>
      <x:c r="B26" s="58" t="str">
        <x:v>RMV</x:v>
      </x:c>
      <x:c r="C26" s="58" t="str">
        <x:v>FY2025</x:v>
      </x:c>
      <x:c r="D26" s="58" t="str">
        <x:v>Anual</x:v>
      </x:c>
      <x:c r="E26" s="58" t="str">
        <x:v>GBP</x:v>
      </x:c>
      <x:c r="F26" s="61" t="n">
        <x:v>425.1</x:v>
      </x:c>
      <x:c r="G26" s="63" t="n">
        <x:v>0.09</x:v>
      </x:c>
      <x:c r="H26" s="61" t="n">
        <x:v>297.7</x:v>
      </x:c>
      <x:c r="I26" s="63" t="n">
        <x:v>0.09</x:v>
      </x:c>
      <x:c r="J26" s="61"/>
      <x:c r="K26" s="61" t="n">
        <x:v>0.281</x:v>
      </x:c>
      <x:c r="L26" s="61"/>
      <x:c r="M26" s="61" t="n">
        <x:v>-29.6</x:v>
      </x:c>
      <x:c r="N26" s="58" t="str">
        <x:v>Membresía ~+1%; ARPA y áreas de crecimiento estratégico</x:v>
      </x:c>
      <x:c r="O26" s="58" t="str">
        <x:v>RMV-FY25</x:v>
      </x:c>
      <x:c r="P26" s="58" t="str">
        <x:v>Beneficio operativo subyacente; revisar caja neta en el informe anual</x:v>
      </x:c>
    </x:row>
    <x:row r="27" ht="132" hidden="0" customHeight="1">
      <x:c r="A27" s="58" t="str">
        <x:v>Games Workshop</x:v>
      </x:c>
      <x:c r="B27" s="58" t="str">
        <x:v>GAW</x:v>
      </x:c>
      <x:c r="C27" s="58" t="str">
        <x:v>FY2026</x:v>
      </x:c>
      <x:c r="D27" s="58" t="str">
        <x:v>Anual</x:v>
      </x:c>
      <x:c r="E27" s="58" t="str">
        <x:v>GBP</x:v>
      </x:c>
      <x:c r="F27" s="61" t="n">
        <x:v>659.7</x:v>
      </x:c>
      <x:c r="G27" s="63" t="n">
        <x:v>0.068</x:v>
      </x:c>
      <x:c r="H27" s="61" t="n">
        <x:v>275</x:v>
      </x:c>
      <x:c r="I27" s="63" t="n">
        <x:v>0.052</x:v>
      </x:c>
      <x:c r="J27" s="61"/>
      <x:c r="K27" s="61" t="n">
        <x:v>6.24</x:v>
      </x:c>
      <x:c r="L27" s="61" t="n">
        <x:v>210.3</x:v>
      </x:c>
      <x:c r="M27" s="61"/>
      <x:c r="N27" s="58" t="str">
        <x:v>Core revenue 626.8m; licensing 32.9m; balance sin deuda</x:v>
      </x:c>
      <x:c r="O27" s="58" t="str">
        <x:v>GAW-FY26</x:v>
      </x:c>
      <x:c r="P27" s="58" t="str">
        <x:v>Caja aumentó 210.3m antes de dividendos; no sustituye a FCF comparable</x:v>
      </x:c>
    </x:row>
    <x:row r="28" ht="79.19999694824219" hidden="0" customHeight="1">
      <x:c r="A28" s="58" t="str">
        <x:v>Computacenter</x:v>
      </x:c>
      <x:c r="B28" s="58" t="str">
        <x:v>CCC</x:v>
      </x:c>
      <x:c r="C28" s="58" t="str">
        <x:v>FY2025</x:v>
      </x:c>
      <x:c r="D28" s="58" t="str">
        <x:v>Anual</x:v>
      </x:c>
      <x:c r="E28" s="58" t="str">
        <x:v>GBP</x:v>
      </x:c>
      <x:c r="F28" s="61" t="n">
        <x:v>9193.9</x:v>
      </x:c>
      <x:c r="G28" s="63" t="n">
        <x:v>0.32</x:v>
      </x:c>
      <x:c r="H28" s="61" t="n">
        <x:v>274.7</x:v>
      </x:c>
      <x:c r="I28" s="63" t="n">
        <x:v>0.113</x:v>
      </x:c>
      <x:c r="J28" s="61"/>
      <x:c r="K28" s="61" t="n">
        <x:v>1.751</x:v>
      </x:c>
      <x:c r="L28" s="61"/>
      <x:c r="M28" s="61" t="n">
        <x:v>-606</x:v>
      </x:c>
      <x:c r="N28" s="58" t="str">
        <x:v>Technology Sourcing +40.9%; Managed Services -2.4% CC</x:v>
      </x:c>
      <x:c r="O28" s="58" t="str">
        <x:v>CCC-FY25</x:v>
      </x:c>
      <x:c r="P28" s="58" t="str">
        <x:v>Cifras ajustadas; net funds no es FCF</x:v>
      </x:c>
    </x:row>
    <x:row r="29" ht="79.19999694824219" hidden="0" customHeight="1">
      <x:c r="A29" s="58" t="str">
        <x:v>Howdens Joinery</x:v>
      </x:c>
      <x:c r="B29" s="58" t="str">
        <x:v>HWDN</x:v>
      </x:c>
      <x:c r="C29" s="58" t="str">
        <x:v>H1 2026</x:v>
      </x:c>
      <x:c r="D29" s="58" t="str">
        <x:v>Semestral</x:v>
      </x:c>
      <x:c r="E29" s="58" t="str">
        <x:v>GBP</x:v>
      </x:c>
      <x:c r="F29" s="61" t="n">
        <x:v>1030.6</x:v>
      </x:c>
      <x:c r="G29" s="63" t="n">
        <x:v>0.033</x:v>
      </x:c>
      <x:c r="H29" s="61" t="n">
        <x:v>128.1</x:v>
      </x:c>
      <x:c r="I29" s="63" t="n">
        <x:v>0.055</x:v>
      </x:c>
      <x:c r="J29" s="61"/>
      <x:c r="K29" s="61" t="n">
        <x:v>0.173</x:v>
      </x:c>
      <x:c r="L29" s="61"/>
      <x:c r="M29" s="61" t="n">
        <x:v>-332.8</x:v>
      </x:c>
      <x:c r="N29" s="58" t="str">
        <x:v>Margen bruto 62.8%; ventas ajustadas +3.7%</x:v>
      </x:c>
      <x:c r="O29" s="58" t="str">
        <x:v>HWDN-H1-26</x:v>
      </x:c>
      <x:c r="P29" s="58" t="str">
        <x:v>Cifras subyacentes; caja al cierre de semestre</x:v>
      </x:c>
    </x:row>
    <x:row r="30" ht="132" hidden="0" customHeight="1">
      <x:c r="A30" s="58" t="str">
        <x:v>Domino's Pizza Group</x:v>
      </x:c>
      <x:c r="B30" s="58" t="str">
        <x:v>DOM</x:v>
      </x:c>
      <x:c r="C30" s="58" t="str">
        <x:v>FY2025</x:v>
      </x:c>
      <x:c r="D30" s="58" t="str">
        <x:v>Anual</x:v>
      </x:c>
      <x:c r="E30" s="58" t="str">
        <x:v>GBP</x:v>
      </x:c>
      <x:c r="F30" s="61" t="n">
        <x:v>685.4</x:v>
      </x:c>
      <x:c r="G30" s="63" t="n">
        <x:v>0.031</x:v>
      </x:c>
      <x:c r="H30" s="61" t="n">
        <x:v>133.9</x:v>
      </x:c>
      <x:c r="I30" s="63" t="n">
        <x:v>-0.066</x:v>
      </x:c>
      <x:c r="J30" s="61"/>
      <x:c r="K30" s="61" t="n">
        <x:v>0.176</x:v>
      </x:c>
      <x:c r="L30" s="61"/>
      <x:c r="M30" s="61"/>
      <x:c r="N30" s="58" t="str">
        <x:v>System sales 1,595.6m +1.5%; primeras 9 semanas de 2026 positivas</x:v>
      </x:c>
      <x:c r="O30" s="58" t="str">
        <x:v>DOM-FY25</x:v>
      </x:c>
      <x:c r="P30" s="58" t="str">
        <x:v>El beneficio operativo usa EBITDA subyacente; H1 se publica el 04-ago-2026</x:v>
      </x:c>
    </x:row>
    <x:row r="31" ht="132" hidden="0" customHeight="1">
      <x:c r="A31" s="58" t="str">
        <x:v>Bellway</x:v>
      </x:c>
      <x:c r="B31" s="58" t="str">
        <x:v>BWY</x:v>
      </x:c>
      <x:c r="C31" s="58" t="str">
        <x:v>FY2026 guía</x:v>
      </x:c>
      <x:c r="D31" s="58" t="str">
        <x:v>Guía</x:v>
      </x:c>
      <x:c r="E31" s="58" t="str">
        <x:v>GBP</x:v>
      </x:c>
      <x:c r="F31" s="61"/>
      <x:c r="G31" s="63"/>
      <x:c r="H31" s="61" t="n">
        <x:v>325</x:v>
      </x:c>
      <x:c r="I31" s="63"/>
      <x:c r="J31" s="61"/>
      <x:c r="K31" s="61" t="n">
        <x:v>1.328</x:v>
      </x:c>
      <x:c r="L31" s="61"/>
      <x:c r="M31" s="61" t="n">
        <x:v>236</x:v>
      </x:c>
      <x:c r="N31" s="58" t="str">
        <x:v>Orderbook 5,345 viviendas / 1,570m; volumen guiado 9,300–9,500</x:v>
      </x:c>
      <x:c r="O31" s="58" t="str">
        <x:v>BWY-TRD</x:v>
      </x:c>
      <x:c r="P31" s="58" t="str">
        <x:v>Guía de beneficio operativo, no resultado cerrado; deuda neta al 29-may-2026</x:v>
      </x:c>
    </x:row>
    <x:row r="32" ht="105.5999984741211" hidden="0" customHeight="1">
      <x:c r="A32" s="58" t="str">
        <x:v>Babcock International</x:v>
      </x:c>
      <x:c r="B32" s="58" t="str">
        <x:v>BAB</x:v>
      </x:c>
      <x:c r="C32" s="58" t="str">
        <x:v>FY2026</x:v>
      </x:c>
      <x:c r="D32" s="58" t="str">
        <x:v>Anual</x:v>
      </x:c>
      <x:c r="E32" s="58" t="str">
        <x:v>GBP</x:v>
      </x:c>
      <x:c r="F32" s="61" t="n">
        <x:v>5273</x:v>
      </x:c>
      <x:c r="G32" s="63" t="n">
        <x:v>0.091</x:v>
      </x:c>
      <x:c r="H32" s="61" t="n">
        <x:v>433</x:v>
      </x:c>
      <x:c r="I32" s="63" t="n">
        <x:v>0.192</x:v>
      </x:c>
      <x:c r="J32" s="61"/>
      <x:c r="K32" s="61" t="n">
        <x:v>0.605</x:v>
      </x:c>
      <x:c r="L32" s="61" t="n">
        <x:v>262</x:v>
      </x:c>
      <x:c r="M32" s="61" t="n">
        <x:v>-23</x:v>
      </x:c>
      <x:c r="N32" s="58" t="str">
        <x:v>Backlog 9.8bn; FCF 262m; recompra FY27 200m</x:v>
      </x:c>
      <x:c r="O32" s="58" t="str">
        <x:v>BAB-FY26</x:v>
      </x:c>
      <x:c r="P32" s="58" t="str">
        <x:v>Métricas subyacentes; Type 31 produjo un cargo extraordinario</x:v>
      </x:c>
    </x:row>
    <x:row r="33" ht="132" hidden="0" customHeight="1">
      <x:c r="A33" s="58" t="str">
        <x:v>Oxford Instruments</x:v>
      </x:c>
      <x:c r="B33" s="58" t="str">
        <x:v>OXIG</x:v>
      </x:c>
      <x:c r="C33" s="58" t="str">
        <x:v>FY2026</x:v>
      </x:c>
      <x:c r="D33" s="58" t="str">
        <x:v>Anual</x:v>
      </x:c>
      <x:c r="E33" s="58" t="str">
        <x:v>GBP</x:v>
      </x:c>
      <x:c r="F33" s="61" t="n">
        <x:v>423.2</x:v>
      </x:c>
      <x:c r="G33" s="63" t="n">
        <x:v>-0.046</x:v>
      </x:c>
      <x:c r="H33" s="61" t="n">
        <x:v>73.7</x:v>
      </x:c>
      <x:c r="I33" s="63" t="n">
        <x:v>-0.073</x:v>
      </x:c>
      <x:c r="J33" s="61"/>
      <x:c r="K33" s="61" t="n">
        <x:v>1.007</x:v>
      </x:c>
      <x:c r="L33" s="61"/>
      <x:c r="M33" s="61" t="n">
        <x:v>-94</x:v>
      </x:c>
      <x:c r="N33" s="58" t="str">
        <x:v>Order intake 450.4m +6.4%; book-to-bill 1.067</x:v>
      </x:c>
      <x:c r="O33" s="58" t="str">
        <x:v>OXIG-FY26</x:v>
      </x:c>
      <x:c r="P33" s="58" t="str">
        <x:v>Margen y EPS ajustados; el beneficio reportado creció por efecto comparativo</x:v>
      </x:c>
    </x:row>
    <x:row r="34" ht="132" hidden="0" customHeight="1">
      <x:c r="A34" s="58" t="str">
        <x:v>4imprint Group</x:v>
      </x:c>
      <x:c r="B34" s="58" t="str">
        <x:v>FOUR</x:v>
      </x:c>
      <x:c r="C34" s="58" t="str">
        <x:v>FY2025</x:v>
      </x:c>
      <x:c r="D34" s="58" t="str">
        <x:v>Anual</x:v>
      </x:c>
      <x:c r="E34" s="58" t="str">
        <x:v>USD</x:v>
      </x:c>
      <x:c r="F34" s="61" t="n">
        <x:v>1346.8</x:v>
      </x:c>
      <x:c r="G34" s="63" t="n">
        <x:v>-0.02</x:v>
      </x:c>
      <x:c r="H34" s="61" t="n">
        <x:v>145.2</x:v>
      </x:c>
      <x:c r="I34" s="63" t="n">
        <x:v>-0.02</x:v>
      </x:c>
      <x:c r="J34" s="61"/>
      <x:c r="K34" s="61" t="n">
        <x:v>4.044</x:v>
      </x:c>
      <x:c r="L34" s="61"/>
      <x:c r="M34" s="61" t="n">
        <x:v>-132.8</x:v>
      </x:c>
      <x:c r="N34" s="58" t="str">
        <x:v>Pedidos 2.06m -3%; pedidos de clientes existentes planos; nuevos -12%</x:v>
      </x:c>
      <x:c r="O34" s="58" t="str">
        <x:v>FOUR-FY25</x:v>
      </x:c>
      <x:c r="P34" s="58" t="str">
        <x:v>Cifras de resultados en USD; cotización/dividendo de la watchlist en GBX</x:v>
      </x:c>
    </x:row>
    <x:row r="35" ht="92.4000015258789" hidden="0" customHeight="1">
      <x:c r="A35" s="58" t="str">
        <x:v>Jet2</x:v>
      </x:c>
      <x:c r="B35" s="58" t="str">
        <x:v>JET2</x:v>
      </x:c>
      <x:c r="C35" s="58" t="str">
        <x:v>FY2026</x:v>
      </x:c>
      <x:c r="D35" s="58" t="str">
        <x:v>Anual</x:v>
      </x:c>
      <x:c r="E35" s="58" t="str">
        <x:v>GBP</x:v>
      </x:c>
      <x:c r="F35" s="61" t="n">
        <x:v>7482.1</x:v>
      </x:c>
      <x:c r="G35" s="63" t="n">
        <x:v>0.04</x:v>
      </x:c>
      <x:c r="H35" s="61" t="n">
        <x:v>439.6</x:v>
      </x:c>
      <x:c r="I35" s="63" t="n">
        <x:v>-0.02</x:v>
      </x:c>
      <x:c r="J35" s="61"/>
      <x:c r="K35" s="61" t="n">
        <x:v>2.112</x:v>
      </x:c>
      <x:c r="L35" s="61"/>
      <x:c r="M35" s="61" t="n">
        <x:v>-2012.9</x:v>
      </x:c>
      <x:c r="N35" s="58" t="str">
        <x:v>Pasajeros 20.83m +5%; capacidad verano 2026 +7.7%</x:v>
      </x:c>
      <x:c r="O35" s="58" t="str">
        <x:v>JET2-FY26</x:v>
      </x:c>
      <x:c r="P35" s="58" t="str">
        <x:v>Caja neta; resultado sensible a combustible, divisa y calendario</x:v>
      </x:c>
    </x:row>
  </x:sheetData>
  <x:mergeCells>
    <x:mergeCell ref="A1:P1"/>
    <x:mergeCell ref="A2:P2"/>
  </x:mergeCells>
  <x:conditionalFormatting sqref="G5:I35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f6902fefa442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7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9.200000762939453" hidden="0" customHeight="1">
      <x:c r="A1" s="34" t="str">
        <x:v>Plantilla de ficha de empresa</x:v>
      </x:c>
      <x:c r="B1" s="34" t="str">
        <x:v>Plantilla de ficha de empresa</x:v>
      </x:c>
      <x:c r="C1" s="34" t="str">
        <x:v>Plantilla de ficha de empresa</x:v>
      </x:c>
      <x:c r="D1" s="34" t="str">
        <x:v>Plantilla de ficha de empresa</x:v>
      </x:c>
      <x:c r="E1" s="34" t="str">
        <x:v>Plantilla de ficha de empresa</x:v>
      </x:c>
      <x:c r="F1" s="34" t="str">
        <x:v>Plantilla de ficha de empresa</x:v>
      </x:c>
      <x:c r="G1" s="34" t="str">
        <x:v>Plantilla de ficha de empresa</x:v>
      </x:c>
      <x:c r="H1" s="34" t="str">
        <x:v>Plantilla de ficha de empresa</x:v>
      </x:c>
    </x:row>
    <x:row r="2" ht="24" hidden="0" customHeight="1">
      <x:c r="A2" s="8" t="str">
        <x:v>Duplica esta hoja o úsala como formulario para una nueva idea. Las celdas azules son entradas; las negras son cálculos.</x:v>
      </x:c>
      <x:c r="B2" s="8" t="str">
        <x:v>Duplica esta hoja o úsala como formulario para una nueva idea. Las celdas azules son entradas; las negras son cálculos.</x:v>
      </x:c>
      <x:c r="C2" s="8" t="str">
        <x:v>Duplica esta hoja o úsala como formulario para una nueva idea. Las celdas azules son entradas; las negras son cálculos.</x:v>
      </x:c>
      <x:c r="D2" s="8" t="str">
        <x:v>Duplica esta hoja o úsala como formulario para una nueva idea. Las celdas azules son entradas; las negras son cálculos.</x:v>
      </x:c>
      <x:c r="E2" s="8" t="str">
        <x:v>Duplica esta hoja o úsala como formulario para una nueva idea. Las celdas azules son entradas; las negras son cálculos.</x:v>
      </x:c>
      <x:c r="F2" s="8" t="str">
        <x:v>Duplica esta hoja o úsala como formulario para una nueva idea. Las celdas azules son entradas; las negras son cálculos.</x:v>
      </x:c>
      <x:c r="G2" s="8" t="str">
        <x:v>Duplica esta hoja o úsala como formulario para una nueva idea. Las celdas azules son entradas; las negras son cálculos.</x:v>
      </x:c>
      <x:c r="H2" s="8" t="str">
        <x:v>Duplica esta hoja o úsala como formulario para una nueva idea. Las celdas azules son entradas; las negras son cálculos.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</x:row>
    <x:row r="4" ht="15" hidden="0" customHeight="1">
      <x:c r="A4" s="36" t="str">
        <x:v>Identificación</x:v>
      </x:c>
      <x:c r="B4" s="36" t="str">
        <x:v>Identificación</x:v>
      </x:c>
      <x:c r="C4" s="36" t="str">
        <x:v>Identificación</x:v>
      </x:c>
      <x:c r="D4" s="36" t="str">
        <x:v>Identificación</x:v>
      </x:c>
      <x:c r="E4" s="33"/>
      <x:c r="F4" s="33"/>
      <x:c r="G4" s="33"/>
      <x:c r="H4" s="33"/>
    </x:row>
    <x:row r="5" ht="15" hidden="0" customHeight="1">
      <x:c r="A5" s="35" t="str">
        <x:v>Empresa</x:v>
      </x:c>
      <x:c r="B5" s="58" t="str"/>
      <x:c r="C5" s="33"/>
      <x:c r="D5" s="33"/>
      <x:c r="E5" s="33"/>
      <x:c r="F5" s="33"/>
      <x:c r="G5" s="33"/>
      <x:c r="H5" s="33"/>
    </x:row>
    <x:row r="6" ht="15" hidden="0" customHeight="1">
      <x:c r="A6" s="35" t="str">
        <x:v>Ticker</x:v>
      </x:c>
      <x:c r="B6" s="58" t="str"/>
      <x:c r="C6" s="33"/>
      <x:c r="D6" s="33"/>
      <x:c r="E6" s="33"/>
      <x:c r="F6" s="33"/>
      <x:c r="G6" s="33"/>
      <x:c r="H6" s="33"/>
    </x:row>
    <x:row r="7" ht="15" hidden="0" customHeight="1">
      <x:c r="A7" s="35" t="str">
        <x:v>Bolsa</x:v>
      </x:c>
      <x:c r="B7" s="58" t="str"/>
      <x:c r="C7" s="33"/>
      <x:c r="D7" s="33"/>
      <x:c r="E7" s="33"/>
      <x:c r="F7" s="33"/>
      <x:c r="G7" s="33"/>
      <x:c r="H7" s="33"/>
    </x:row>
    <x:row r="8" ht="15" hidden="0" customHeight="1">
      <x:c r="A8" s="35" t="str">
        <x:v>Tipo</x:v>
      </x:c>
      <x:c r="B8" s="58" t="str"/>
      <x:c r="C8" s="33"/>
      <x:c r="D8" s="33"/>
      <x:c r="E8" s="33"/>
      <x:c r="F8" s="33"/>
      <x:c r="G8" s="33"/>
      <x:c r="H8" s="33"/>
    </x:row>
    <x:row r="9" ht="26.399999618530273" hidden="0" customHeight="1">
      <x:c r="A9" s="35" t="str">
        <x:v>Fecha de análisis</x:v>
      </x:c>
      <x:c r="B9" s="59" t="n">
        <x:v>46238</x:v>
      </x:c>
      <x:c r="C9" s="33"/>
      <x:c r="D9" s="33"/>
      <x:c r="E9" s="33"/>
      <x:c r="F9" s="33"/>
      <x:c r="G9" s="33"/>
      <x:c r="H9" s="33"/>
    </x:row>
    <x:row r="10" ht="26.399999618530273" hidden="0" customHeight="1">
      <x:c r="A10" s="35" t="str">
        <x:v>Fuente principal</x:v>
      </x:c>
      <x:c r="B10" s="58" t="str"/>
      <x:c r="C10" s="33"/>
      <x:c r="D10" s="33"/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6" t="str">
        <x:v>Valoración y caja</x:v>
      </x:c>
      <x:c r="B12" s="36" t="str">
        <x:v>Valoración y caja</x:v>
      </x:c>
      <x:c r="C12" s="36" t="str">
        <x:v>Valoración y caja</x:v>
      </x:c>
      <x:c r="D12" s="36" t="str">
        <x:v>Tesis Lynch</x:v>
      </x:c>
      <x:c r="E12" s="36" t="str">
        <x:v>Tesis Lynch</x:v>
      </x:c>
      <x:c r="F12" s="36" t="str">
        <x:v>Tesis Lynch</x:v>
      </x:c>
      <x:c r="G12" s="36" t="str">
        <x:v>Tesis Lynch</x:v>
      </x:c>
      <x:c r="H12" s="36" t="str">
        <x:v>Tesis Lynch</x:v>
      </x:c>
    </x:row>
    <x:row r="13" ht="26.399999618530273" hidden="0" customHeight="1">
      <x:c r="A13" s="35" t="str">
        <x:v>Precio</x:v>
      </x:c>
      <x:c r="B13" s="60" t="str"/>
      <x:c r="C13" s="33"/>
      <x:c r="D13" s="35" t="str">
        <x:v>¿Qué hace?</x:v>
      </x:c>
      <x:c r="E13" s="122" t="str"/>
      <x:c r="F13" s="122" t="str"/>
      <x:c r="G13" s="122" t="str"/>
      <x:c r="H13" s="122" t="str"/>
    </x:row>
    <x:row r="14" ht="39.599998474121094" hidden="0" customHeight="1">
      <x:c r="A14" s="35" t="str">
        <x:v>EPS</x:v>
      </x:c>
      <x:c r="B14" s="60" t="str"/>
      <x:c r="C14" s="33"/>
      <x:c r="D14" s="35" t="str">
        <x:v>¿Por qué puede crecer?</x:v>
      </x:c>
      <x:c r="E14" s="122" t="str"/>
      <x:c r="F14" s="122" t="str"/>
      <x:c r="G14" s="122" t="str"/>
      <x:c r="H14" s="122" t="str"/>
    </x:row>
    <x:row r="15" ht="52.79999923706055" hidden="0" customHeight="1">
      <x:c r="A15" s="35" t="str">
        <x:v>PER calculado</x:v>
      </x:c>
      <x:c r="B15" s="71" t="str">
        <x:f>IFERROR(B13/B14,"")</x:f>
      </x:c>
      <x:c r="C15" s="33"/>
      <x:c r="D15" s="35" t="str">
        <x:v>¿Cuál es el catalizador?</x:v>
      </x:c>
      <x:c r="E15" s="122" t="str"/>
      <x:c r="F15" s="122" t="str"/>
      <x:c r="G15" s="122" t="str"/>
      <x:c r="H15" s="122" t="str"/>
    </x:row>
    <x:row r="16" ht="39.599998474121094" hidden="0" customHeight="1">
      <x:c r="A16" s="35" t="str">
        <x:v>Crec. beneficios</x:v>
      </x:c>
      <x:c r="B16" s="63" t="str"/>
      <x:c r="C16" s="33"/>
      <x:c r="D16" s="35" t="str">
        <x:v>¿Qué puede salir mal?</x:v>
      </x:c>
      <x:c r="E16" s="122" t="str"/>
      <x:c r="F16" s="122" t="str"/>
      <x:c r="G16" s="122" t="str"/>
      <x:c r="H16" s="122" t="str"/>
    </x:row>
    <x:row r="17" ht="66" hidden="0" customHeight="1">
      <x:c r="A17" s="35" t="str">
        <x:v>PEG heurístico</x:v>
      </x:c>
      <x:c r="B17" s="64" t="str">
        <x:f>IF(AND(B15&gt;0,B16&gt;0),B15/(B16*100),"")</x:f>
      </x:c>
      <x:c r="C17" s="33"/>
      <x:c r="D17" s="35" t="str">
        <x:v>¿Qué precio sería razonable?</x:v>
      </x:c>
      <x:c r="E17" s="122" t="str"/>
      <x:c r="F17" s="122" t="str"/>
      <x:c r="G17" s="122" t="str"/>
      <x:c r="H17" s="122" t="str"/>
    </x:row>
    <x:row r="18" ht="39.599998474121094" hidden="0" customHeight="1">
      <x:c r="A18" s="35" t="str">
        <x:v>FCF</x:v>
      </x:c>
      <x:c r="B18" s="61" t="str"/>
      <x:c r="C18" s="33"/>
      <x:c r="D18" s="35" t="str">
        <x:v>¿Qué dato invalida la tesis?</x:v>
      </x:c>
      <x:c r="E18" s="122" t="str"/>
      <x:c r="F18" s="122" t="str"/>
      <x:c r="G18" s="122" t="str"/>
      <x:c r="H18" s="122" t="str"/>
    </x:row>
    <x:row r="19" ht="39.599998474121094" hidden="0" customHeight="1">
      <x:c r="A19" s="35" t="str">
        <x:v>Capitalización</x:v>
      </x:c>
      <x:c r="B19" s="61" t="str"/>
      <x:c r="C19" s="33"/>
      <x:c r="D19" s="35" t="str">
        <x:v>¿Qué dice la dirección?</x:v>
      </x:c>
      <x:c r="E19" s="122" t="str"/>
      <x:c r="F19" s="122" t="str"/>
      <x:c r="G19" s="122" t="str"/>
      <x:c r="H19" s="122" t="str"/>
    </x:row>
    <x:row r="20" ht="66" hidden="0" customHeight="1">
      <x:c r="A20" s="35" t="str">
        <x:v>FCF yield</x:v>
      </x:c>
      <x:c r="B20" s="72" t="str">
        <x:f>IFERROR(B18/B19,"")</x:f>
      </x:c>
      <x:c r="C20" s="33"/>
      <x:c r="D20" s="35" t="str">
        <x:v>¿Qué dicen insiders/accionistas?</x:v>
      </x:c>
      <x:c r="E20" s="122" t="str"/>
      <x:c r="F20" s="122" t="str"/>
      <x:c r="G20" s="122" t="str"/>
      <x:c r="H20" s="122" t="str"/>
    </x:row>
    <x:row r="21" ht="39.599998474121094" hidden="0" customHeight="1">
      <x:c r="A21" s="35" t="str">
        <x:v>Deuda neta (+) / caja (-)</x:v>
      </x:c>
      <x:c r="B21" s="61" t="str"/>
      <x:c r="C21" s="33"/>
      <x:c r="D21" s="35" t="str">
        <x:v>Próxima revisión</x:v>
      </x:c>
      <x:c r="E21" s="123" t="str"/>
      <x:c r="F21" s="122" t="str"/>
      <x:c r="G21" s="122" t="str"/>
      <x:c r="H21" s="122" t="str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</x:row>
    <x:row r="23" ht="15" hidden="0" customHeight="1">
      <x:c r="A23" s="33"/>
      <x:c r="B23" s="33"/>
      <x:c r="C23" s="33"/>
      <x:c r="D23" s="33"/>
      <x:c r="E23" s="33"/>
      <x:c r="F23" s="33"/>
      <x:c r="G23" s="33"/>
      <x:c r="H23" s="33"/>
    </x:row>
    <x:row r="24" ht="15" hidden="0" customHeight="1">
      <x:c r="A24" s="36" t="str">
        <x:v>Checklist rápida</x:v>
      </x:c>
      <x:c r="B24" s="36" t="str">
        <x:v>Checklist rápida</x:v>
      </x:c>
      <x:c r="C24" s="36" t="str">
        <x:v>Checklist rápida</x:v>
      </x:c>
      <x:c r="D24" s="36" t="str">
        <x:v>Checklist rápida</x:v>
      </x:c>
      <x:c r="E24" s="36" t="str">
        <x:v>Checklist rápida</x:v>
      </x:c>
      <x:c r="F24" s="36" t="str">
        <x:v>Checklist rápida</x:v>
      </x:c>
      <x:c r="G24" s="36" t="str">
        <x:v>Checklist rápida</x:v>
      </x:c>
      <x:c r="H24" s="36" t="str">
        <x:v>Checklist rápida</x:v>
      </x:c>
    </x:row>
    <x:row r="25" ht="24" hidden="0" customHeight="1">
      <x:c r="A25" s="20" t="str">
        <x:v>Criterio</x:v>
      </x:c>
      <x:c r="B25" s="20" t="str">
        <x:v>Puntos</x:v>
      </x:c>
      <x:c r="C25" s="20" t="str">
        <x:v>Comentario</x:v>
      </x:c>
      <x:c r="D25" s="20" t="str"/>
      <x:c r="E25" s="20" t="str"/>
      <x:c r="F25" s="20" t="str"/>
      <x:c r="G25" s="20" t="str"/>
      <x:c r="H25" s="20" t="str"/>
    </x:row>
    <x:row r="26" ht="39.599998474121094" hidden="0" customHeight="1">
      <x:c r="A26" s="58" t="str">
        <x:v>Negocio comprensible</x:v>
      </x:c>
      <x:c r="B26" s="104" t="str"/>
      <x:c r="C26" s="124" t="str"/>
      <x:c r="D26" s="124" t="str"/>
      <x:c r="E26" s="124" t="str"/>
      <x:c r="F26" s="124" t="str"/>
      <x:c r="G26" s="124" t="str"/>
      <x:c r="H26" s="124" t="str"/>
    </x:row>
    <x:row r="27" ht="39.599998474121094" hidden="0" customHeight="1">
      <x:c r="A27" s="58" t="str">
        <x:v>Historia / catalizador</x:v>
      </x:c>
      <x:c r="B27" s="104" t="str"/>
      <x:c r="C27" s="124" t="str"/>
      <x:c r="D27" s="124" t="str"/>
      <x:c r="E27" s="124" t="str"/>
      <x:c r="F27" s="124" t="str"/>
      <x:c r="G27" s="124" t="str"/>
      <x:c r="H27" s="124"/>
    </x:row>
    <x:row r="28" ht="26.399999618530273" hidden="0" customHeight="1">
      <x:c r="A28" s="58" t="str">
        <x:v>Crecimiento</x:v>
      </x:c>
      <x:c r="B28" s="104" t="str"/>
      <x:c r="C28" s="124" t="str"/>
      <x:c r="D28" s="124" t="str"/>
      <x:c r="E28" s="124" t="str"/>
      <x:c r="F28" s="124" t="str"/>
      <x:c r="G28" s="124" t="str"/>
      <x:c r="H28" s="124"/>
    </x:row>
    <x:row r="29" ht="15" hidden="0" customHeight="1">
      <x:c r="A29" s="58" t="str">
        <x:v>Valoración</x:v>
      </x:c>
      <x:c r="B29" s="104" t="str"/>
      <x:c r="C29" s="124" t="str"/>
      <x:c r="D29" s="124" t="str"/>
      <x:c r="E29" s="124" t="str"/>
      <x:c r="F29" s="124" t="str"/>
      <x:c r="G29" s="124" t="str"/>
      <x:c r="H29" s="124"/>
    </x:row>
    <x:row r="30" ht="26.399999618530273" hidden="0" customHeight="1">
      <x:c r="A30" s="58" t="str">
        <x:v>Balance / caja</x:v>
      </x:c>
      <x:c r="B30" s="104" t="str"/>
      <x:c r="C30" s="124" t="str"/>
      <x:c r="D30" s="124" t="str"/>
      <x:c r="E30" s="124" t="str"/>
      <x:c r="F30" s="124" t="str"/>
      <x:c r="G30" s="124" t="str"/>
      <x:c r="H30" s="124"/>
    </x:row>
    <x:row r="31" ht="39.599998474121094" hidden="0" customHeight="1">
      <x:c r="A31" s="58" t="str">
        <x:v>Riesgos manejables</x:v>
      </x:c>
      <x:c r="B31" s="104" t="str"/>
      <x:c r="C31" s="124" t="str"/>
      <x:c r="D31" s="124" t="str"/>
      <x:c r="E31" s="124" t="str"/>
      <x:c r="F31" s="124" t="str"/>
      <x:c r="G31" s="124" t="str"/>
      <x:c r="H31" s="124"/>
    </x:row>
    <x:row r="32" ht="15" hidden="0" customHeight="1">
      <x:c r="A32" s="33"/>
      <x:c r="B32" s="33"/>
      <x:c r="C32" s="33"/>
      <x:c r="D32" s="33"/>
      <x:c r="E32" s="33"/>
      <x:c r="F32" s="33"/>
      <x:c r="G32" s="33"/>
      <x:c r="H32" s="33"/>
    </x:row>
    <x:row r="33" ht="26.399999618530273" hidden="0" customHeight="1">
      <x:c r="A33" s="35" t="str">
        <x:v>Nota</x:v>
      </x:c>
      <x:c r="B33" s="33" t="str">
        <x:v>Escribe siempre la condición de compra, el precio de entrada y el punto de salida por tesis rota.</x:v>
      </x:c>
      <x:c r="C33" s="33" t="str"/>
      <x:c r="D33" s="33" t="str"/>
      <x:c r="E33" s="33" t="str"/>
      <x:c r="F33" s="33" t="str"/>
      <x:c r="G33" s="33" t="str"/>
      <x:c r="H33" s="33" t="str"/>
    </x:row>
    <x:row r="34" ht="15" hidden="0" customHeight="1">
      <x:c r="A34" s="35" t="str">
        <x:v>Fuente</x:v>
      </x:c>
      <x:c r="B34" s="33" t="str">
        <x:v>No dejes una cifra sin enlace, fecha y moneda.</x:v>
      </x:c>
      <x:c r="C34" s="33" t="str"/>
      <x:c r="D34" s="33" t="str"/>
      <x:c r="E34" s="33" t="str"/>
      <x:c r="F34" s="33" t="str"/>
      <x:c r="G34" s="33" t="str"/>
      <x:c r="H34" s="33" t="str"/>
    </x:row>
    <x:row r="35" ht="15" hidden="0" customHeight="1">
      <x:c r="A35" s="33"/>
      <x:c r="B35" s="33"/>
      <x:c r="C35" s="33"/>
      <x:c r="D35" s="33"/>
      <x:c r="E35" s="33"/>
      <x:c r="F35" s="33"/>
      <x:c r="G35" s="33"/>
      <x:c r="H35" s="33"/>
    </x:row>
    <x:row r="36" ht="15" hidden="0" customHeight="1">
      <x:c r="A36" s="36" t="str">
        <x:v>Las 13 señales de una empresa atractiva — completar con evidencia</x:v>
      </x:c>
      <x:c r="B36" s="36" t="str">
        <x:v>Las 13 señales de una empresa atractiva — completar con evidencia</x:v>
      </x:c>
      <x:c r="C36" s="36" t="str">
        <x:v>Las 13 señales de una empresa atractiva — completar con evidencia</x:v>
      </x:c>
      <x:c r="D36" s="36" t="str">
        <x:v>Las 13 señales de una empresa atractiva — completar con evidencia</x:v>
      </x:c>
      <x:c r="E36" s="36" t="str">
        <x:v>Las 13 señales de una empresa atractiva — completar con evidencia</x:v>
      </x:c>
      <x:c r="F36" s="36" t="str">
        <x:v>Las 13 señales de una empresa atractiva — completar con evidencia</x:v>
      </x:c>
      <x:c r="G36" s="36" t="str">
        <x:v>Las 13 señales de una empresa atractiva — completar con evidencia</x:v>
      </x:c>
      <x:c r="H36" s="36" t="str">
        <x:v>Las 13 señales de una empresa atractiva — completar con evidencia</x:v>
      </x:c>
    </x:row>
    <x:row r="37" ht="48" hidden="0" customHeight="1">
      <x:c r="A37" s="20" t="str">
        <x:v>#</x:v>
      </x:c>
      <x:c r="B37" s="20" t="str">
        <x:v>Criterio Lynch (parafraseado)</x:v>
      </x:c>
      <x:c r="C37" s="20" t="str">
        <x:v>Evidencia / enlace</x:v>
      </x:c>
      <x:c r="D37" s="20" t="str"/>
      <x:c r="E37" s="20" t="str"/>
      <x:c r="F37" s="20" t="str"/>
      <x:c r="G37" s="20" t="str"/>
      <x:c r="H37" s="20" t="str"/>
    </x:row>
    <x:row r="38" ht="92.4000015258789" hidden="0" customHeight="1">
      <x:c r="A38" s="105" t="n">
        <x:v>1</x:v>
      </x:c>
      <x:c r="B38" s="28" t="str">
        <x:v>Nombre o historia poco glamourosa, fácil de pasar por alto.</x:v>
      </x:c>
      <x:c r="C38" s="122" t="str"/>
      <x:c r="D38" s="122" t="str"/>
      <x:c r="E38" s="122" t="str"/>
      <x:c r="F38" s="122" t="str"/>
      <x:c r="G38" s="122" t="str"/>
      <x:c r="H38" s="122" t="str"/>
    </x:row>
    <x:row r="39" ht="66" hidden="0" customHeight="1">
      <x:c r="A39" s="105" t="n">
        <x:v>2</x:v>
      </x:c>
      <x:c r="B39" s="28" t="str">
        <x:v>Hace algo aburrido, rutinario o poco mediático.</x:v>
      </x:c>
      <x:c r="C39" s="122" t="str"/>
      <x:c r="D39" s="122" t="str"/>
      <x:c r="E39" s="122" t="str"/>
      <x:c r="F39" s="122" t="str"/>
      <x:c r="G39" s="122" t="str"/>
      <x:c r="H39" s="122" t="str"/>
    </x:row>
    <x:row r="40" ht="105.5999984741211" hidden="0" customHeight="1">
      <x:c r="A40" s="105" t="n">
        <x:v>3</x:v>
      </x:c>
      <x:c r="B40" s="28" t="str">
        <x:v>Hace algo desagradable que mantiene alejados a los competidores.</x:v>
      </x:c>
      <x:c r="C40" s="122" t="str"/>
      <x:c r="D40" s="122" t="str"/>
      <x:c r="E40" s="122" t="str"/>
      <x:c r="F40" s="122" t="str"/>
      <x:c r="G40" s="122" t="str"/>
      <x:c r="H40" s="122" t="str"/>
    </x:row>
    <x:row r="41" ht="92.4000015258789" hidden="0" customHeight="1">
      <x:c r="A41" s="105" t="n">
        <x:v>4</x:v>
      </x:c>
      <x:c r="B41" s="28" t="str">
        <x:v>Es una escisión reciente o una parte separada de otra empresa.</x:v>
      </x:c>
      <x:c r="C41" s="122" t="str"/>
      <x:c r="D41" s="122" t="str"/>
      <x:c r="E41" s="122" t="str"/>
      <x:c r="F41" s="122" t="str"/>
      <x:c r="G41" s="122" t="str"/>
      <x:c r="H41" s="122" t="str"/>
    </x:row>
    <x:row r="42" ht="105.5999984741211" hidden="0" customHeight="1">
      <x:c r="A42" s="105" t="n">
        <x:v>5</x:v>
      </x:c>
      <x:c r="B42" s="28" t="str">
        <x:v>Tiene poca cobertura institucional o pocos analistas siguiéndola.</x:v>
      </x:c>
      <x:c r="C42" s="122" t="str"/>
      <x:c r="D42" s="122" t="str"/>
      <x:c r="E42" s="122" t="str"/>
      <x:c r="F42" s="122" t="str"/>
      <x:c r="G42" s="122" t="str"/>
      <x:c r="H42" s="122" t="str"/>
    </x:row>
    <x:row r="43" ht="132" hidden="0" customHeight="1">
      <x:c r="A43" s="105" t="n">
        <x:v>6</x:v>
      </x:c>
      <x:c r="B43" s="28" t="str">
        <x:v>Arrastra rumores o un estigma que puede mantener baja la valoración.</x:v>
      </x:c>
      <x:c r="C43" s="122" t="str"/>
      <x:c r="D43" s="122" t="str"/>
      <x:c r="E43" s="122" t="str"/>
      <x:c r="F43" s="122" t="str"/>
      <x:c r="G43" s="122" t="str"/>
      <x:c r="H43" s="122" t="str"/>
    </x:row>
    <x:row r="44" ht="92.4000015258789" hidden="0" customHeight="1">
      <x:c r="A44" s="105" t="n">
        <x:v>7</x:v>
      </x:c>
      <x:c r="B44" s="28" t="str">
        <x:v>Opera en un sector deprimente o impopular, pero necesario.</x:v>
      </x:c>
      <x:c r="C44" s="122" t="str"/>
      <x:c r="D44" s="122" t="str"/>
      <x:c r="E44" s="122" t="str"/>
      <x:c r="F44" s="122" t="str"/>
      <x:c r="G44" s="122" t="str"/>
      <x:c r="H44" s="122" t="str"/>
    </x:row>
    <x:row r="45" ht="105.5999984741211" hidden="0" customHeight="1">
      <x:c r="A45" s="105" t="n">
        <x:v>8</x:v>
      </x:c>
      <x:c r="B45" s="28" t="str">
        <x:v>Está en un sector de poco crecimiento donde aún puede ganar cuota.</x:v>
      </x:c>
      <x:c r="C45" s="122" t="str"/>
      <x:c r="D45" s="122" t="str"/>
      <x:c r="E45" s="122" t="str"/>
      <x:c r="F45" s="122" t="str"/>
      <x:c r="G45" s="122" t="str"/>
      <x:c r="H45" s="122" t="str"/>
    </x:row>
    <x:row r="46" ht="105.5999984741211" hidden="0" customHeight="1">
      <x:c r="A46" s="105" t="n">
        <x:v>9</x:v>
      </x:c>
      <x:c r="B46" s="28" t="str">
        <x:v>Tiene un nicho, franquicia, marca, licencia o ventaja difícil de replicar.</x:v>
      </x:c>
      <x:c r="C46" s="122" t="str"/>
      <x:c r="D46" s="122" t="str"/>
      <x:c r="E46" s="122" t="str"/>
      <x:c r="F46" s="122" t="str"/>
      <x:c r="G46" s="122" t="str"/>
      <x:c r="H46" s="122" t="str"/>
    </x:row>
    <x:row r="47" ht="118.80000305175781" hidden="0" customHeight="1">
      <x:c r="A47" s="105" t="n">
        <x:v>10</x:v>
      </x:c>
      <x:c r="B47" s="28" t="str">
        <x:v>El cliente vuelve a comprar el producto/servicio de forma recurrente.</x:v>
      </x:c>
      <x:c r="C47" s="122" t="str"/>
      <x:c r="D47" s="122" t="str"/>
      <x:c r="E47" s="122" t="str"/>
      <x:c r="F47" s="122" t="str"/>
      <x:c r="G47" s="122" t="str"/>
      <x:c r="H47" s="122" t="str"/>
    </x:row>
    <x:row r="48" ht="118.80000305175781" hidden="0" customHeight="1">
      <x:c r="A48" s="105" t="n">
        <x:v>11</x:v>
      </x:c>
      <x:c r="B48" s="28" t="str">
        <x:v>Usa la tecnología para ahorrar costes o mejorar un negocio sencillo.</x:v>
      </x:c>
      <x:c r="C48" s="122" t="str"/>
      <x:c r="D48" s="122" t="str"/>
      <x:c r="E48" s="122" t="str"/>
      <x:c r="F48" s="122" t="str"/>
      <x:c r="G48" s="122" t="str"/>
      <x:c r="H48" s="122" t="str"/>
    </x:row>
    <x:row r="49" ht="118.80000305175781" hidden="0" customHeight="1">
      <x:c r="A49" s="105" t="n">
        <x:v>12</x:v>
      </x:c>
      <x:c r="B49" s="28" t="str">
        <x:v>La gente de dentro compra acciones y está alineada con accionistas.</x:v>
      </x:c>
      <x:c r="C49" s="122" t="str"/>
      <x:c r="D49" s="122" t="str"/>
      <x:c r="E49" s="122" t="str"/>
      <x:c r="F49" s="122" t="str"/>
      <x:c r="G49" s="122" t="str"/>
      <x:c r="H49" s="122" t="str"/>
    </x:row>
    <x:row r="50" ht="105.5999984741211" hidden="0" customHeight="1">
      <x:c r="A50" s="105" t="n">
        <x:v>13</x:v>
      </x:c>
      <x:c r="B50" s="28" t="str">
        <x:v>Recompra acciones de forma efectiva y evita la dilución innecesaria.</x:v>
      </x:c>
      <x:c r="C50" s="122" t="str"/>
      <x:c r="D50" s="122" t="str"/>
      <x:c r="E50" s="122" t="str"/>
      <x:c r="F50" s="122" t="str"/>
      <x:c r="G50" s="122" t="str"/>
      <x:c r="H50" s="122" t="str"/>
    </x:row>
  </x:sheetData>
  <x:mergeCells>
    <x:mergeCell ref="A1:H1"/>
    <x:mergeCell ref="A2:H2"/>
    <x:mergeCell ref="A4:D4"/>
    <x:mergeCell ref="A12:D12"/>
    <x:mergeCell ref="D12:H12"/>
    <x:mergeCell ref="E13:H13"/>
    <x:mergeCell ref="E14:H14"/>
    <x:mergeCell ref="E15:H15"/>
    <x:mergeCell ref="E16:H16"/>
    <x:mergeCell ref="E17:H17"/>
    <x:mergeCell ref="E18:H18"/>
    <x:mergeCell ref="E19:H19"/>
    <x:mergeCell ref="E20:H20"/>
    <x:mergeCell ref="E21:H21"/>
    <x:mergeCell ref="A24:H24"/>
    <x:mergeCell ref="C26:H26"/>
    <x:mergeCell ref="C27:H27"/>
    <x:mergeCell ref="C28:H28"/>
    <x:mergeCell ref="C29:H29"/>
    <x:mergeCell ref="C30:H30"/>
    <x:mergeCell ref="C31:H31"/>
    <x:mergeCell ref="B33:H33"/>
    <x:mergeCell ref="B34:H34"/>
    <x:mergeCell ref="A36:H36"/>
    <x:mergeCell ref="C38:H38"/>
    <x:mergeCell ref="C39:H39"/>
    <x:mergeCell ref="C40:H40"/>
    <x:mergeCell ref="C41:H41"/>
    <x:mergeCell ref="C42:H42"/>
    <x:mergeCell ref="C43:H43"/>
    <x:mergeCell ref="C44:H44"/>
    <x:mergeCell ref="C45:H45"/>
    <x:mergeCell ref="C46:H46"/>
    <x:mergeCell ref="C47:H47"/>
    <x:mergeCell ref="C48:H48"/>
    <x:mergeCell ref="C49:H49"/>
    <x:mergeCell ref="C50:H50"/>
  </x:mergeCells>
  <x:dataValidations count="1">
    <x:dataValidation operator="between" sqref="B26:B31">
      <x:formula1>0</x:formula1>
      <x:formula2>2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8" hidden="0" customWidth="1"/>
    <x:col min="5" max="5" width="42" hidden="0" customWidth="1"/>
    <x:col min="6" max="6" width="72" hidden="0" customWidth="1"/>
    <x:col min="7" max="7" width="42" hidden="0" customWidth="1"/>
  </x:cols>
  <x:sheetData>
    <x:row r="1" ht="19.200000762939453" hidden="0" customHeight="1">
      <x:c r="A1" s="34" t="str">
        <x:v>Fuentes y auditoría</x:v>
      </x:c>
      <x:c r="B1" s="34" t="str">
        <x:v>Fuentes y auditoría</x:v>
      </x:c>
      <x:c r="C1" s="34" t="str">
        <x:v>Fuentes y auditoría</x:v>
      </x:c>
      <x:c r="D1" s="34" t="str">
        <x:v>Fuentes y auditoría</x:v>
      </x:c>
      <x:c r="E1" s="34" t="str">
        <x:v>Fuentes y auditoría</x:v>
      </x:c>
      <x:c r="F1" s="34" t="str">
        <x:v>Fuentes y auditoría</x:v>
      </x:c>
      <x:c r="G1" s="34" t="str">
        <x:v>Fuentes y auditoría</x:v>
      </x:c>
    </x:row>
    <x:row r="2" ht="24" hidden="0" customHeight="1">
      <x:c r="A2" s="8" t="str">
        <x:v>Fuente de mercado = cotización/ratios de la fecha de corte. Fuente de resultados = comunicado, informe o SEC. Prioriza las fuentes oficiales para actualizar.</x:v>
      </x:c>
      <x:c r="B2" s="8" t="str">
        <x:v>Fuente de mercado = cotización/ratios de la fecha de corte. Fuente de resultados = comunicado, informe o SEC. Prioriza las fuentes oficiales para actualizar.</x:v>
      </x:c>
      <x:c r="C2" s="8" t="str">
        <x:v>Fuente de mercado = cotización/ratios de la fecha de corte. Fuente de resultados = comunicado, informe o SEC. Prioriza las fuentes oficiales para actualizar.</x:v>
      </x:c>
      <x:c r="D2" s="8" t="str">
        <x:v>Fuente de mercado = cotización/ratios de la fecha de corte. Fuente de resultados = comunicado, informe o SEC. Prioriza las fuentes oficiales para actualizar.</x:v>
      </x:c>
      <x:c r="E2" s="8" t="str">
        <x:v>Fuente de mercado = cotización/ratios de la fecha de corte. Fuente de resultados = comunicado, informe o SEC. Prioriza las fuentes oficiales para actualizar.</x:v>
      </x:c>
      <x:c r="F2" s="8" t="str">
        <x:v>Fuente de mercado = cotización/ratios de la fecha de corte. Fuente de resultados = comunicado, informe o SEC. Prioriza las fuentes oficiales para actualizar.</x:v>
      </x:c>
      <x:c r="G2" s="8" t="str">
        <x:v>Fuente de mercado = cotización/ratios de la fecha de corte. Fuente de resultados = comunicado, informe o SEC. Prioriza las fuentes oficiales para actualizar.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</x:row>
    <x:row r="4" ht="36" hidden="0" customHeight="1">
      <x:c r="A4" s="20" t="str">
        <x:v>Fuente ID</x:v>
      </x:c>
      <x:c r="B4" s="20" t="str">
        <x:v>Empresa</x:v>
      </x:c>
      <x:c r="C4" s="20" t="str">
        <x:v>Fecha</x:v>
      </x:c>
      <x:c r="D4" s="20" t="str">
        <x:v>Tipo</x:v>
      </x:c>
      <x:c r="E4" s="20" t="str">
        <x:v>Qué respalda</x:v>
      </x:c>
      <x:c r="F4" s="20" t="str">
        <x:v>URL</x:v>
      </x:c>
      <x:c r="G4" s="20" t="str">
        <x:v>Nota de calidad / uso</x:v>
      </x:c>
    </x:row>
    <x:row r="5" ht="145.1999969482422" hidden="0" customHeight="1">
      <x:c r="A5" s="58" t="str">
        <x:v>ATYM-MKT</x:v>
      </x:c>
      <x:c r="B5" s="58" t="str">
        <x:v>Atalaya Mining</x:v>
      </x:c>
      <x:c r="C5" s="59" t="n">
        <x:v>46238</x:v>
      </x:c>
      <x:c r="D5" s="58" t="str">
        <x:v>Mercado</x:v>
      </x:c>
      <x:c r="E5" s="58" t="str">
        <x:v>Precio, capitalización, PER, EPS, dividendo</x:v>
      </x:c>
      <x:c r="F5" s="40" t="str">
        <x:v>https://www.lse.co.uk/SharePrice.html?mobile_view=desktop&amp;share=Atalaya-Mining&amp;shareprice=ATYM</x:v>
      </x:c>
      <x:c r="G5" s="58" t="str">
        <x:v>Snapshot de mercado; actualizar antes de decidir.</x:v>
      </x:c>
    </x:row>
    <x:row r="6" ht="171.60000610351562" hidden="0" customHeight="1">
      <x:c r="A6" s="58" t="str">
        <x:v>ATYM-FY25</x:v>
      </x:c>
      <x:c r="B6" s="58" t="str">
        <x:v>Atalaya Mining</x:v>
      </x:c>
      <x:c r="C6" s="59" t="n">
        <x:v>46100</x:v>
      </x:c>
      <x:c r="D6" s="58" t="str">
        <x:v>Resultados</x:v>
      </x:c>
      <x:c r="E6" s="58" t="str">
        <x:v>FY25 ventas, EBITDA, beneficio, FCF y caja</x:v>
      </x:c>
      <x:c r="F6" s="40" t="str">
        <x:v>https://wp-atalaya-mining-2022.s3.eu-west-2.amazonaws.com/media/2026/03/2026.03.19-ATYM_RNS-2025-Annual-Results-vF.pdf</x:v>
      </x:c>
      <x:c r="G6" s="58" t="str">
        <x:v>Informe anual oficial.</x:v>
      </x:c>
    </x:row>
    <x:row r="7" ht="118.80000305175781" hidden="0" customHeight="1">
      <x:c r="A7" s="58" t="str">
        <x:v>ATYM-Q2-26</x:v>
      </x:c>
      <x:c r="B7" s="58" t="str">
        <x:v>Atalaya Mining</x:v>
      </x:c>
      <x:c r="C7" s="59" t="n">
        <x:v>46231</x:v>
      </x:c>
      <x:c r="D7" s="58" t="str">
        <x:v>Operativo</x:v>
      </x:c>
      <x:c r="E7" s="58" t="str">
        <x:v>Producción Q2, inventario y caja neta</x:v>
      </x:c>
      <x:c r="F7" s="40" t="str">
        <x:v>https://www.lse.co.uk/rns/ATYM/q2-2026-operations-update-bdqqmb3wkhfb7d1.html</x:v>
      </x:c>
      <x:c r="G7" s="58" t="str">
        <x:v>Usar también la corrección posterior del mismo comunicado.</x:v>
      </x:c>
    </x:row>
    <x:row r="8" ht="92.4000015258789" hidden="0" customHeight="1">
      <x:c r="A8" s="58" t="str">
        <x:v>ATYM-OWN</x:v>
      </x:c>
      <x:c r="B8" s="58" t="str">
        <x:v>Atalaya Mining</x:v>
      </x:c>
      <x:c r="C8" s="59" t="n">
        <x:v>46238</x:v>
      </x:c>
      <x:c r="D8" s="58" t="str">
        <x:v>Ownership</x:v>
      </x:c>
      <x:c r="E8" s="58" t="str">
        <x:v>Accionistas significativos</x:v>
      </x:c>
      <x:c r="F8" s="40" t="str">
        <x:v>https://atalayamining.com/es/inversores/informacion-accionarial/</x:v>
      </x:c>
      <x:c r="G8" s="58" t="str">
        <x:v>Comprobar cambios de participaciones.</x:v>
      </x:c>
    </x:row>
    <x:row r="9" ht="105.5999984741211" hidden="0" customHeight="1">
      <x:c r="A9" s="58" t="str">
        <x:v>RIO-MKT</x:v>
      </x:c>
      <x:c r="B9" s="58" t="str">
        <x:v>Rio Tinto</x:v>
      </x:c>
      <x:c r="C9" s="59" t="n">
        <x:v>46238</x:v>
      </x:c>
      <x:c r="D9" s="58" t="str">
        <x:v>Mercado</x:v>
      </x:c>
      <x:c r="E9" s="58" t="str">
        <x:v>Precio, capitalización, PER, EPS, dividendo</x:v>
      </x:c>
      <x:c r="F9" s="40" t="str">
        <x:v>https://www.lse.co.uk/SharePrice.html?share=Rio-tinto&amp;shareprice=RIO</x:v>
      </x:c>
      <x:c r="G9" s="58" t="str">
        <x:v>Snapshot de mercado; actualizar antes de decidir.</x:v>
      </x:c>
    </x:row>
    <x:row r="10" ht="184.8000030517578" hidden="0" customHeight="1">
      <x:c r="A10" s="58" t="str">
        <x:v>RIO-FY25</x:v>
      </x:c>
      <x:c r="B10" s="58" t="str">
        <x:v>Rio Tinto</x:v>
      </x:c>
      <x:c r="C10" s="59" t="n">
        <x:v>46072</x:v>
      </x:c>
      <x:c r="D10" s="58" t="str">
        <x:v>Resultados</x:v>
      </x:c>
      <x:c r="E10" s="58" t="str">
        <x:v>FY25 ventas, EBITDA, beneficio, FCF, deuda y dividendo</x:v>
      </x:c>
      <x:c r="F10" s="40" t="str">
        <x:v>https://www.riotinto.com/news/releases/2026/rio-tinto-solid-results-underpinned-by-8-cueq-production-and-sharper-cost-discipline</x:v>
      </x:c>
      <x:c r="G10" s="58" t="str">
        <x:v>Comunicado oficial de resultados.</x:v>
      </x:c>
    </x:row>
    <x:row r="11" ht="198" hidden="0" customHeight="1">
      <x:c r="A11" s="58" t="str">
        <x:v>RIO-H1-26</x:v>
      </x:c>
      <x:c r="B11" s="58" t="str">
        <x:v>Rio Tinto</x:v>
      </x:c>
      <x:c r="C11" s="59" t="n">
        <x:v>46231</x:v>
      </x:c>
      <x:c r="D11" s="58" t="str">
        <x:v>Resultados</x:v>
      </x:c>
      <x:c r="E11" s="58" t="str">
        <x:v>H1 2026 ventas, EBITDA, FCF y deuda</x:v>
      </x:c>
      <x:c r="F11" s="40" t="str">
        <x:v>https://www.businesswire.com/news/home/20260728256050/en/Rio-Tinto-Step-change-in-performance-delivering-higher-shareholder-returns</x:v>
      </x:c>
      <x:c r="G11" s="58" t="str">
        <x:v>Resumen de resultados H1; contrastar con presentación oficial.</x:v>
      </x:c>
    </x:row>
    <x:row r="12" ht="237.60000610351562" hidden="0" customHeight="1">
      <x:c r="A12" s="58" t="str">
        <x:v>RIO-OWN</x:v>
      </x:c>
      <x:c r="B12" s="58" t="str">
        <x:v>Rio Tinto</x:v>
      </x:c>
      <x:c r="C12" s="59" t="n">
        <x:v>46238</x:v>
      </x:c>
      <x:c r="D12" s="58" t="str">
        <x:v>Ownership</x:v>
      </x:c>
      <x:c r="E12" s="58" t="str">
        <x:v>Beneficial ownership</x:v>
      </x:c>
      <x:c r="F12" s="40" t="str">
        <x:v>https://www.riotinto.com/-/media/Content/Documents/Sustainability/Ethics-and-integrity/Transparency/RT-Beneficial-ownership.pdf?rev=4d675f7ef7d6467f9f48d4f2f368402b</x:v>
      </x:c>
      <x:c r="G12" s="58" t="str">
        <x:v>Documento de transparencia.</x:v>
      </x:c>
    </x:row>
    <x:row r="13" ht="264" hidden="0" customHeight="1">
      <x:c r="A13" s="58" t="str">
        <x:v>RIO-BB</x:v>
      </x:c>
      <x:c r="B13" s="58" t="str">
        <x:v>Rio Tinto</x:v>
      </x:c>
      <x:c r="C13" s="59" t="n">
        <x:v>46238</x:v>
      </x:c>
      <x:c r="D13" s="58" t="str">
        <x:v>Capital allocation</x:v>
      </x:c>
      <x:c r="E13" s="58" t="str">
        <x:v>Historial de recompras</x:v>
      </x:c>
      <x:c r="F13" s="40" t="str">
        <x:v>https://www.riotinto.com/invest/shareholder-information/share-buy-backs?source=content_type%3Areact%7Cfirst_level_url%3Aarticle%7Csection%3Amain_content%7Cbutton%3Abody_link</x:v>
      </x:c>
      <x:c r="G13" s="58" t="str">
        <x:v>Revisar vigencia y saldo.</x:v>
      </x:c>
    </x:row>
    <x:row r="14" ht="92.4000015258789" hidden="0" customHeight="1">
      <x:c r="A14" s="58" t="str">
        <x:v>ETOR-MKT</x:v>
      </x:c>
      <x:c r="B14" s="58" t="str">
        <x:v>eToro</x:v>
      </x:c>
      <x:c r="C14" s="59" t="n">
        <x:v>46238</x:v>
      </x:c>
      <x:c r="D14" s="58" t="str">
        <x:v>Mercado</x:v>
      </x:c>
      <x:c r="E14" s="58" t="str">
        <x:v>Precio, capitalización y PER orientativo</x:v>
      </x:c>
      <x:c r="F14" s="40" t="str">
        <x:v>https://stockanalysis.com/stocks/etor/</x:v>
      </x:c>
      <x:c r="G14" s="58" t="str">
        <x:v>Snapshot de tercero; contrastar con IR/mercado.</x:v>
      </x:c>
    </x:row>
    <x:row r="15" ht="158.39999389648438" hidden="0" customHeight="1">
      <x:c r="A15" s="58" t="str">
        <x:v>ETOR-FY25</x:v>
      </x:c>
      <x:c r="B15" s="58" t="str">
        <x:v>eToro</x:v>
      </x:c>
      <x:c r="C15" s="59" t="n">
        <x:v>46091</x:v>
      </x:c>
      <x:c r="D15" s="58" t="str">
        <x:v>Resultados</x:v>
      </x:c>
      <x:c r="E15" s="58" t="str">
        <x:v>FY25 net contribution, EBITDA, beneficio y recompra</x:v>
      </x:c>
      <x:c r="F15" s="40" t="str">
        <x:v>https://investors.etoro.com/news-releases/news-release-details/etoro-reports-fourth-quarter-and-full-year-2025-results</x:v>
      </x:c>
      <x:c r="G15" s="58" t="str">
        <x:v>Fuente oficial de la compañía.</x:v>
      </x:c>
    </x:row>
    <x:row r="16" ht="145.1999969482422" hidden="0" customHeight="1">
      <x:c r="A16" s="58" t="str">
        <x:v>ETOR-Q1-26</x:v>
      </x:c>
      <x:c r="B16" s="58" t="str">
        <x:v>eToro</x:v>
      </x:c>
      <x:c r="C16" s="59" t="n">
        <x:v>46154</x:v>
      </x:c>
      <x:c r="D16" s="58" t="str">
        <x:v>Resultados</x:v>
      </x:c>
      <x:c r="E16" s="58" t="str">
        <x:v>Q1 2026 crecimiento, AUA, cuentas y caja</x:v>
      </x:c>
      <x:c r="F16" s="40" t="str">
        <x:v>https://investors.etoro.com/news-releases/news-release-details/etoro-reports-first-quarter-2026-results</x:v>
      </x:c>
      <x:c r="G16" s="58" t="str">
        <x:v>Fuente oficial; próximos resultados 11-ago-2026.</x:v>
      </x:c>
    </x:row>
    <x:row r="17" ht="105.5999984741211" hidden="0" customHeight="1">
      <x:c r="A17" s="58" t="str">
        <x:v>ETOR-20F</x:v>
      </x:c>
      <x:c r="B17" s="58" t="str">
        <x:v>eToro</x:v>
      </x:c>
      <x:c r="C17" s="59" t="n">
        <x:v>46112</x:v>
      </x:c>
      <x:c r="D17" s="58" t="str">
        <x:v>Filing</x:v>
      </x:c>
      <x:c r="E17" s="58" t="str">
        <x:v>Acciones Clase A/B y estructura societaria</x:v>
      </x:c>
      <x:c r="F17" s="40" t="str">
        <x:v>https://investors.etoro.com/static-files/42426819-ac6c-46e9-ba77-2aeaacf156b2</x:v>
      </x:c>
      <x:c r="G17" s="58" t="str">
        <x:v>Revisar dilución, dual class y lock-up.</x:v>
      </x:c>
    </x:row>
    <x:row r="18" ht="79.19999694824219" hidden="0" customHeight="1">
      <x:c r="A18" s="58" t="str">
        <x:v>HBX-MKT</x:v>
      </x:c>
      <x:c r="B18" s="58" t="str">
        <x:v>HBX Group</x:v>
      </x:c>
      <x:c r="C18" s="59" t="n">
        <x:v>46238</x:v>
      </x:c>
      <x:c r="D18" s="58" t="str">
        <x:v>Mercado</x:v>
      </x:c>
      <x:c r="E18" s="58" t="str">
        <x:v>Precio, capitalización, PER, EPS y dividendo</x:v>
      </x:c>
      <x:c r="F18" s="40" t="str">
        <x:v>https://stockanalysis.com/quote/bme/HBX/</x:v>
      </x:c>
      <x:c r="G18" s="58" t="str">
        <x:v>Snapshot de tercero; actualizar antes de decidir.</x:v>
      </x:c>
    </x:row>
    <x:row r="19" ht="224.39999389648438" hidden="0" customHeight="1">
      <x:c r="A19" s="58" t="str">
        <x:v>HBX-IPO</x:v>
      </x:c>
      <x:c r="B19" s="58" t="str">
        <x:v>HBX Group</x:v>
      </x:c>
      <x:c r="C19" s="59" t="n">
        <x:v>45722</x:v>
      </x:c>
      <x:c r="D19" s="58" t="str">
        <x:v>IPO</x:v>
      </x:c>
      <x:c r="E19" s="58" t="str">
        <x:v>Precio y fecha de salida a bolsa</x:v>
      </x:c>
      <x:c r="F19" s="40" t="str">
        <x:v>https://investors.hbxgroup.com/English/news/news-details/2025/HBX-Group-launches-its-IPO-on-the-Spanish-Stock-Exchanges-at-a-Price-Range-of-10.50---12.50-per-share/</x:v>
      </x:c>
      <x:c r="G19" s="58" t="str">
        <x:v>El precio de IPO fue 11.50 EUR.</x:v>
      </x:c>
    </x:row>
    <x:row r="20" ht="158.39999389648438" hidden="0" customHeight="1">
      <x:c r="A20" s="58" t="str">
        <x:v>HBX-H1-26</x:v>
      </x:c>
      <x:c r="B20" s="58" t="str">
        <x:v>HBX Group</x:v>
      </x:c>
      <x:c r="C20" s="59" t="n">
        <x:v>46232</x:v>
      </x:c>
      <x:c r="D20" s="58" t="str">
        <x:v>Resultados</x:v>
      </x:c>
      <x:c r="E20" s="58" t="str">
        <x:v>H1 2026 TTV, ventas, EBITDA, PAT, deuda, guía y recompra</x:v>
      </x:c>
      <x:c r="F20" s="40" t="str">
        <x:v>https://www.prnewswire.com/news-releases/hbx-group-announces-half-year-2026-financial-results-302770897.html</x:v>
      </x:c>
      <x:c r="G20" s="58" t="str">
        <x:v>Comunicado distribuido por la compañía.</x:v>
      </x:c>
    </x:row>
    <x:row r="21" ht="118.80000305175781" hidden="0" customHeight="1">
      <x:c r="A21" s="58" t="str">
        <x:v>HBX-SH</x:v>
      </x:c>
      <x:c r="B21" s="58" t="str">
        <x:v>HBX Group</x:v>
      </x:c>
      <x:c r="C21" s="59" t="n">
        <x:v>46238</x:v>
      </x:c>
      <x:c r="D21" s="58" t="str">
        <x:v>Ownership</x:v>
      </x:c>
      <x:c r="E21" s="58" t="str">
        <x:v>Accionistas significativos</x:v>
      </x:c>
      <x:c r="F21" s="40" t="str">
        <x:v>https://investors.hbxgroup.com/English/stock-info/significant-shareholders/default.aspx</x:v>
      </x:c>
      <x:c r="G21" s="58" t="str">
        <x:v>CPPIB/Cinven y free float; comprobar actualizaciones.</x:v>
      </x:c>
    </x:row>
    <x:row r="22" ht="118.80000305175781" hidden="0" customHeight="1">
      <x:c r="A22" s="58" t="str">
        <x:v>FIG-MKT</x:v>
      </x:c>
      <x:c r="B22" s="58" t="str">
        <x:v>Figma</x:v>
      </x:c>
      <x:c r="C22" s="59" t="n">
        <x:v>46238</x:v>
      </x:c>
      <x:c r="D22" s="58" t="str">
        <x:v>Mercado</x:v>
      </x:c>
      <x:c r="E22" s="58" t="str">
        <x:v>Precio, capitalización y PER</x:v>
      </x:c>
      <x:c r="F22" s="40" t="str">
        <x:v>https://stockanalysis.com/stocks/fig/</x:v>
      </x:c>
      <x:c r="G22" s="58" t="str">
        <x:v>Snapshot de tercero; no usar PER GAAP positivo porque hay pérdidas.</x:v>
      </x:c>
    </x:row>
    <x:row r="23" ht="184.8000030517578" hidden="0" customHeight="1">
      <x:c r="A23" s="58" t="str">
        <x:v>FIG-IPO</x:v>
      </x:c>
      <x:c r="B23" s="58" t="str">
        <x:v>Figma</x:v>
      </x:c>
      <x:c r="C23" s="59" t="n">
        <x:v>45869</x:v>
      </x:c>
      <x:c r="D23" s="58" t="str">
        <x:v>IPO</x:v>
      </x:c>
      <x:c r="E23" s="58" t="str">
        <x:v>Precio y comienzo de cotización</x:v>
      </x:c>
      <x:c r="F23" s="40" t="str">
        <x:v>https://investor.figma.com/news-events/news/news-details/2025/Figma-Announces-Pricing-of-Initial-Public-Offering/default.aspx</x:v>
      </x:c>
      <x:c r="G23" s="58" t="str">
        <x:v>36.937m acciones Clase A a 33 USD.</x:v>
      </x:c>
    </x:row>
    <x:row r="24" ht="198" hidden="0" customHeight="1">
      <x:c r="A24" s="58" t="str">
        <x:v>FIG-FY25</x:v>
      </x:c>
      <x:c r="B24" s="58" t="str">
        <x:v>Figma</x:v>
      </x:c>
      <x:c r="C24" s="59" t="n">
        <x:v>46078</x:v>
      </x:c>
      <x:c r="D24" s="58" t="str">
        <x:v>Resultados</x:v>
      </x:c>
      <x:c r="E24" s="58" t="str">
        <x:v>FY25 ventas, beneficio operativo no GAAP, FCF y caja</x:v>
      </x:c>
      <x:c r="F24" s="40" t="str">
        <x:v>https://investor.figma.com/news-events/news/news-details/2026/Figma-Announces-Fourth-Quarter-and-Fiscal-Year-2025-Financial-Results/default.aspx</x:v>
      </x:c>
      <x:c r="G24" s="58" t="str">
        <x:v>SBC provoca distorsión importante en GAAP.</x:v>
      </x:c>
    </x:row>
    <x:row r="25" ht="184.8000030517578" hidden="0" customHeight="1">
      <x:c r="A25" s="58" t="str">
        <x:v>FIG-Q1-26</x:v>
      </x:c>
      <x:c r="B25" s="58" t="str">
        <x:v>Figma</x:v>
      </x:c>
      <x:c r="C25" s="59" t="n">
        <x:v>46149</x:v>
      </x:c>
      <x:c r="D25" s="58" t="str">
        <x:v>Resultados</x:v>
      </x:c>
      <x:c r="E25" s="58" t="str">
        <x:v>Q1 2026 ventas, FCF, NDR, clientes y guía</x:v>
      </x:c>
      <x:c r="F25" s="40" t="str">
        <x:v>https://investor.figma.com/news-events/news/news-details/2026/Figma-Announces-First-Quarter-2026-Financial-Results/default.aspx</x:v>
      </x:c>
      <x:c r="G25" s="58" t="str">
        <x:v>Guía FY26 de ingresos 1.422–1.428bn USD.</x:v>
      </x:c>
    </x:row>
    <x:row r="26" ht="211.1999969482422" hidden="0" customHeight="1">
      <x:c r="A26" s="58" t="str">
        <x:v>FIG-Q2</x:v>
      </x:c>
      <x:c r="B26" s="58" t="str">
        <x:v>Figma</x:v>
      </x:c>
      <x:c r="C26" s="59" t="n">
        <x:v>46231</x:v>
      </x:c>
      <x:c r="D26" s="58" t="str">
        <x:v>Evento</x:v>
      </x:c>
      <x:c r="E26" s="58" t="str">
        <x:v>Fecha de resultados Q2 2026</x:v>
      </x:c>
      <x:c r="F26" s="40" t="str">
        <x:v>https://investor.figma.com/news-events/news/news-details/2026/Figma-to-Announce-Second-Quarter-2026-Financial-Results-on-August-5-2026/default.aspx</x:v>
      </x:c>
      <x:c r="G26" s="58" t="str">
        <x:v>Catalizador; a fecha de corte aún no publicado.</x:v>
      </x:c>
    </x:row>
    <x:row r="27" ht="105.5999984741211" hidden="0" customHeight="1">
      <x:c r="A27" s="58" t="str">
        <x:v>JD-MKT</x:v>
      </x:c>
      <x:c r="B27" s="58" t="str">
        <x:v>JD Sports Fashion</x:v>
      </x:c>
      <x:c r="C27" s="59" t="n">
        <x:v>46238</x:v>
      </x:c>
      <x:c r="D27" s="58" t="str">
        <x:v>Mercado</x:v>
      </x:c>
      <x:c r="E27" s="58" t="str">
        <x:v>Precio, capitalización, PER, EPS y dividendo</x:v>
      </x:c>
      <x:c r="F27" s="40" t="str">
        <x:v>https://www.lse.co.uk/SharePrice.html?mobile_view=desktop&amp;shareprice=JD.</x:v>
      </x:c>
      <x:c r="G27" s="58" t="str">
        <x:v>Cotización retrasada; snapshot 86.18p.</x:v>
      </x:c>
    </x:row>
    <x:row r="28" ht="184.8000030517578" hidden="0" customHeight="1">
      <x:c r="A28" s="58" t="str">
        <x:v>JD-FY26</x:v>
      </x:c>
      <x:c r="B28" s="58" t="str">
        <x:v>JD Sports Fashion</x:v>
      </x:c>
      <x:c r="C28" s="59" t="n">
        <x:v>46128</x:v>
      </x:c>
      <x:c r="D28" s="58" t="str">
        <x:v>Resultados</x:v>
      </x:c>
      <x:c r="E28" s="58" t="str">
        <x:v>FY26 ventas, beneficio operativo, EPS y FCF</x:v>
      </x:c>
      <x:c r="F28" s="40" t="str">
        <x:v>https://www.jdplc.com/investor-relations/regulatory-news/regulatory-news-details/2026/FULL-YEAR-RESULTS-202526-FY26/default.aspx</x:v>
      </x:c>
      <x:c r="G28" s="58" t="str">
        <x:v>Resultados oficiales.</x:v>
      </x:c>
    </x:row>
    <x:row r="29" ht="118.80000305175781" hidden="0" customHeight="1">
      <x:c r="A29" s="58" t="str">
        <x:v>JD-BB</x:v>
      </x:c>
      <x:c r="B29" s="58" t="str">
        <x:v>JD Sports Fashion</x:v>
      </x:c>
      <x:c r="C29" s="59" t="n">
        <x:v>46076</x:v>
      </x:c>
      <x:c r="D29" s="58" t="str">
        <x:v>Capital allocation</x:v>
      </x:c>
      <x:c r="E29" s="58" t="str">
        <x:v>Programa de recompra 2026</x:v>
      </x:c>
      <x:c r="F29" s="40" t="str">
        <x:v>https://www.lse.co.uk/rns/JD./full-year-results-202526-fy26-mrde33s99qg3cu2.html</x:v>
      </x:c>
      <x:c r="G29" s="58" t="str">
        <x:v>Confirmar ejecución y acciones en circulación.</x:v>
      </x:c>
    </x:row>
    <x:row r="30" ht="79.19999694824219" hidden="0" customHeight="1">
      <x:c r="A30" s="58" t="str">
        <x:v>PYPL-MKT</x:v>
      </x:c>
      <x:c r="B30" s="58" t="str">
        <x:v>PayPal</x:v>
      </x:c>
      <x:c r="C30" s="59" t="n">
        <x:v>46238</x:v>
      </x:c>
      <x:c r="D30" s="58" t="str">
        <x:v>Mercado</x:v>
      </x:c>
      <x:c r="E30" s="58" t="str">
        <x:v>Precio, capitalización, PER y EPS</x:v>
      </x:c>
      <x:c r="F30" s="40" t="str">
        <x:v>https://stockanalysis.com/stocks/pypl/</x:v>
      </x:c>
      <x:c r="G30" s="58" t="str">
        <x:v>Snapshot de tercero; actualizar antes de decidir.</x:v>
      </x:c>
    </x:row>
    <x:row r="31" ht="145.1999969482422" hidden="0" customHeight="1">
      <x:c r="A31" s="58" t="str">
        <x:v>PYPL-FY25</x:v>
      </x:c>
      <x:c r="B31" s="58" t="str">
        <x:v>PayPal</x:v>
      </x:c>
      <x:c r="C31" s="59" t="n">
        <x:v>46057</x:v>
      </x:c>
      <x:c r="D31" s="58" t="str">
        <x:v>Resultados / SEC</x:v>
      </x:c>
      <x:c r="E31" s="58" t="str">
        <x:v>FCF, recompras y dividendo</x:v>
      </x:c>
      <x:c r="F31" s="40" t="str">
        <x:v>https://www.sec.gov/Archives/edgar/data/1633917/000163391726000021/pypl4q-25earningsrelease.htm</x:v>
      </x:c>
      <x:c r="G31" s="58" t="str">
        <x:v>Comunicado de resultados presentado ante SEC.</x:v>
      </x:c>
    </x:row>
    <x:row r="32" ht="145.1999969482422" hidden="0" customHeight="1">
      <x:c r="A32" s="58" t="str">
        <x:v>PYPL-Q1-26</x:v>
      </x:c>
      <x:c r="B32" s="58" t="str">
        <x:v>PayPal</x:v>
      </x:c>
      <x:c r="C32" s="59" t="n">
        <x:v>46140</x:v>
      </x:c>
      <x:c r="D32" s="58" t="str">
        <x:v>Resultados / SEC</x:v>
      </x:c>
      <x:c r="E32" s="58" t="str">
        <x:v>Ventas, TPV, FCF y branded checkout</x:v>
      </x:c>
      <x:c r="F32" s="40" t="str">
        <x:v>https://www.sec.gov/Archives/edgar/data/1633917/000163391726000065/pypl1q-26earningsrelease.htm</x:v>
      </x:c>
      <x:c r="G32" s="58" t="str">
        <x:v>Fuente primaria; revisar el informe completo.</x:v>
      </x:c>
    </x:row>
    <x:row r="33" ht="132" hidden="0" customHeight="1">
      <x:c r="A33" s="58" t="str">
        <x:v>PYPL-10K</x:v>
      </x:c>
      <x:c r="B33" s="58" t="str">
        <x:v>PayPal</x:v>
      </x:c>
      <x:c r="C33" s="59" t="n">
        <x:v>46073</x:v>
      </x:c>
      <x:c r="D33" s="58" t="str">
        <x:v>Filing</x:v>
      </x:c>
      <x:c r="E33" s="58" t="str">
        <x:v>Recompras 2025 y autorización pendiente</x:v>
      </x:c>
      <x:c r="F33" s="40" t="str">
        <x:v>https://www.sec.gov/Archives/edgar/data/1633917/000163391726000024/pypl-20251231.htm</x:v>
      </x:c>
      <x:c r="G33" s="58" t="str">
        <x:v>Filing anual.</x:v>
      </x:c>
    </x:row>
    <x:row r="34" ht="92.4000015258789" hidden="0" customHeight="1">
      <x:c r="A34" s="58" t="str">
        <x:v>APN-MKT</x:v>
      </x:c>
      <x:c r="B34" s="58" t="str">
        <x:v>Applied Nutrition</x:v>
      </x:c>
      <x:c r="C34" s="59" t="n">
        <x:v>46238</x:v>
      </x:c>
      <x:c r="D34" s="58" t="str">
        <x:v>Mercado</x:v>
      </x:c>
      <x:c r="E34" s="58" t="str">
        <x:v>Precio, capitalización, PER y evolución anual</x:v>
      </x:c>
      <x:c r="F34" s="40" t="str">
        <x:v>https://www.lse.co.uk/SharePrice.html?shareprice=APN</x:v>
      </x:c>
      <x:c r="G34" s="58" t="str">
        <x:v>Candidata descartada inicialmente por valoración.</x:v>
      </x:c>
    </x:row>
    <x:row r="35" ht="92.4000015258789" hidden="0" customHeight="1">
      <x:c r="A35" s="58" t="str">
        <x:v>APN-FY25</x:v>
      </x:c>
      <x:c r="B35" s="58" t="str">
        <x:v>Applied Nutrition</x:v>
      </x:c>
      <x:c r="C35" s="59" t="n">
        <x:v>45931</x:v>
      </x:c>
      <x:c r="D35" s="58" t="str">
        <x:v>Resultados</x:v>
      </x:c>
      <x:c r="E35" s="58" t="str">
        <x:v>FY25 ventas, EBITDA, EPS y FCF</x:v>
      </x:c>
      <x:c r="F35" s="40" t="str">
        <x:v>https://www.lse.co.uk/rns/final-results-ipv08uqh911qvg9.html</x:v>
      </x:c>
      <x:c r="G35" s="58" t="str">
        <x:v>Crecimiento bueno; PER cercano a 39x y sin dividendo.</x:v>
      </x:c>
    </x:row>
    <x:row r="36" ht="132" hidden="0" customHeight="1">
      <x:c r="A36" s="58" t="str">
        <x:v>LYNCH-BOOK</x:v>
      </x:c>
      <x:c r="B36" s="58" t="str">
        <x:v>Peter Lynch</x:v>
      </x:c>
      <x:c r="C36" s="59" t="n">
        <x:v>46238</x:v>
      </x:c>
      <x:c r="D36" s="58" t="str">
        <x:v>Libro</x:v>
      </x:c>
      <x:c r="E36" s="58" t="str">
        <x:v>Seis categorías, 13 señales de empresa atractiva y prioridad de beneficios/balance</x:v>
      </x:c>
      <x:c r="F36" s="40" t="str">
        <x:v>C:/Users/Cesar/Desktop/desarrollador/finanzas/src/Un paso por delante de Wall Street.pdf</x:v>
      </x:c>
      <x:c r="G36" s="58" t="str">
        <x:v>PDF local proporcionado por el usuario; usado como marco cualitativo.</x:v>
      </x:c>
    </x:row>
    <x:row r="37" ht="105.5999984741211" hidden="0" customHeight="1">
      <x:c r="A37" s="58" t="str">
        <x:v>WISE-MKT</x:v>
      </x:c>
      <x:c r="B37" s="58" t="str">
        <x:v>Wise</x:v>
      </x:c>
      <x:c r="C37" s="59" t="n">
        <x:v>46238</x:v>
      </x:c>
      <x:c r="D37" s="58" t="str">
        <x:v>Mercado</x:v>
      </x:c>
      <x:c r="E37" s="58" t="str">
        <x:v>Precio, capitalización, PER, EPS y dividendo</x:v>
      </x:c>
      <x:c r="F37" s="40" t="str">
        <x:v>https://www.lse.co.uk/SharePrice.html?share=Wise-Plc&amp;shareprice=WISE</x:v>
      </x:c>
      <x:c r="G37" s="58" t="str">
        <x:v>Snapshot LSE; actualizar antes de decidir.</x:v>
      </x:c>
    </x:row>
    <x:row r="38" ht="105.5999984741211" hidden="0" customHeight="1">
      <x:c r="A38" s="58" t="str">
        <x:v>WISE-FY26</x:v>
      </x:c>
      <x:c r="B38" s="58" t="str">
        <x:v>Wise</x:v>
      </x:c>
      <x:c r="C38" s="59" t="n">
        <x:v>46199</x:v>
      </x:c>
      <x:c r="D38" s="58" t="str">
        <x:v>Resultados</x:v>
      </x:c>
      <x:c r="E38" s="58" t="str">
        <x:v>FY26 net revenue, beneficio antes de impuestos, caja, deuda y recompras</x:v>
      </x:c>
      <x:c r="F38" s="40" t="str">
        <x:v>https://owners.wise.com/news-releases/news-release-details/wise-fy26-results</x:v>
      </x:c>
      <x:c r="G38" s="58" t="str">
        <x:v>Fuente oficial; la caja incluye fondos salvaguardados de clientes.</x:v>
      </x:c>
    </x:row>
    <x:row r="39" ht="118.80000305175781" hidden="0" customHeight="1">
      <x:c r="A39" s="58" t="str">
        <x:v>WISE-Q1-27</x:v>
      </x:c>
      <x:c r="B39" s="58" t="str">
        <x:v>Wise</x:v>
      </x:c>
      <x:c r="C39" s="59" t="n">
        <x:v>46220</x:v>
      </x:c>
      <x:c r="D39" s="58" t="str">
        <x:v>Resultados</x:v>
      </x:c>
      <x:c r="E39" s="58" t="str">
        <x:v>Q1 FY27 clientes, volumen, holdings, net revenue y guidance</x:v>
      </x:c>
      <x:c r="F39" s="40" t="str">
        <x:v>https://owners.wise.com/news-releases/news-release-details/wise-q1-fy27-trading-update</x:v>
      </x:c>
      <x:c r="G39" s="58" t="str">
        <x:v>Fuente oficial; actualización operativa más reciente.</x:v>
      </x:c>
    </x:row>
    <x:row r="40" ht="145.1999969482422" hidden="0" customHeight="1">
      <x:c r="A40" s="58" t="str">
        <x:v>WISE-CAL</x:v>
      </x:c>
      <x:c r="B40" s="58" t="str">
        <x:v>Wise</x:v>
      </x:c>
      <x:c r="C40" s="59" t="n">
        <x:v>46188</x:v>
      </x:c>
      <x:c r="D40" s="58" t="str">
        <x:v>Calendario</x:v>
      </x:c>
      <x:c r="E40" s="58" t="str">
        <x:v>Fechas de resultados FY26 y Q1 FY27; próxima fecha por confirmar</x:v>
      </x:c>
      <x:c r="F40" s="40" t="str">
        <x:v>https://owners.wise.com/news-releases/news-release-details/notice-fy26-results-and-q1-fy27-trading-update</x:v>
      </x:c>
      <x:c r="G40" s="58" t="str">
        <x:v>No hay próximo evento confirmado; revisar el calendario.</x:v>
      </x:c>
    </x:row>
    <x:row r="41" ht="92.4000015258789" hidden="0" customHeight="1">
      <x:c r="A41" s="58" t="str">
        <x:v>AUTO-MKT</x:v>
      </x:c>
      <x:c r="B41" s="58" t="str">
        <x:v>Auto Trader</x:v>
      </x:c>
      <x:c r="C41" s="59" t="n">
        <x:v>46238</x:v>
      </x:c>
      <x:c r="D41" s="58" t="str">
        <x:v>Mercado</x:v>
      </x:c>
      <x:c r="E41" s="58" t="str">
        <x:v>Precio, capitalización, PER, EPS, dividendo y yield</x:v>
      </x:c>
      <x:c r="F41" s="40" t="str">
        <x:v>https://www.lse.co.uk/ShareFundamentals.html?shareprice=AUTO</x:v>
      </x:c>
      <x:c r="G41" s="58" t="str">
        <x:v>Snapshot LSE; actualizar antes de decidir.</x:v>
      </x:c>
    </x:row>
    <x:row r="42" ht="198" hidden="0" customHeight="1">
      <x:c r="A42" s="58" t="str">
        <x:v>AUTO-FY26</x:v>
      </x:c>
      <x:c r="B42" s="58" t="str">
        <x:v>Auto Trader</x:v>
      </x:c>
      <x:c r="C42" s="59" t="n">
        <x:v>46163</x:v>
      </x:c>
      <x:c r="D42" s="58" t="str">
        <x:v>Resultados</x:v>
      </x:c>
      <x:c r="E42" s="58" t="str">
        <x:v>FY26 ingresos, beneficio operativo, EPS, caja y deuda</x:v>
      </x:c>
      <x:c r="F42" s="40" t="str">
        <x:v>https://www.investegate.co.uk/announcement/rns/autotrader-group-plc--auto/full-year-results-for-the-year-ended-31-march-2026/9578760</x:v>
      </x:c>
      <x:c r="G42" s="58" t="str">
        <x:v>Comunicado oficial distribuido por RNS.</x:v>
      </x:c>
    </x:row>
    <x:row r="43" ht="79.19999694824219" hidden="0" customHeight="1">
      <x:c r="A43" s="58" t="str">
        <x:v>AUTO-CAL</x:v>
      </x:c>
      <x:c r="B43" s="58" t="str">
        <x:v>Auto Trader</x:v>
      </x:c>
      <x:c r="C43" s="59" t="n">
        <x:v>46238</x:v>
      </x:c>
      <x:c r="D43" s="58" t="str">
        <x:v>Calendario</x:v>
      </x:c>
      <x:c r="E43" s="58" t="str">
        <x:v>Resultados semestrales FY27 el 05-nov-2026</x:v>
      </x:c>
      <x:c r="F43" s="40" t="str">
        <x:v>https://plc.autotrader.co.uk/investors/financial-calendar/</x:v>
      </x:c>
      <x:c r="G43" s="58" t="str">
        <x:v>Fecha confirmada por la compañía.</x:v>
      </x:c>
    </x:row>
    <x:row r="44" ht="118.80000305175781" hidden="0" customHeight="1">
      <x:c r="A44" s="58" t="str">
        <x:v>BME-MKT</x:v>
      </x:c>
      <x:c r="B44" s="58" t="str">
        <x:v>B&amp;M European Value Retail</x:v>
      </x:c>
      <x:c r="C44" s="59" t="n">
        <x:v>46238</x:v>
      </x:c>
      <x:c r="D44" s="58" t="str">
        <x:v>Mercado</x:v>
      </x:c>
      <x:c r="E44" s="58" t="str">
        <x:v>Precio, capitalización, EPS y dividendo; última operación visible</x:v>
      </x:c>
      <x:c r="F44" s="40" t="str">
        <x:v>https://www.lse.co.uk/SharePrice.html?shareprice=BME</x:v>
      </x:c>
      <x:c r="G44" s="58" t="str">
        <x:v>El precio de mercado puede estar retrasado; contrastar el día de revisión.</x:v>
      </x:c>
    </x:row>
    <x:row r="45" ht="184.8000030517578" hidden="0" customHeight="1">
      <x:c r="A45" s="58" t="str">
        <x:v>BME-FY26</x:v>
      </x:c>
      <x:c r="B45" s="58" t="str">
        <x:v>B&amp;M European Value Retail</x:v>
      </x:c>
      <x:c r="C45" s="59" t="n">
        <x:v>46176</x:v>
      </x:c>
      <x:c r="D45" s="58" t="str">
        <x:v>Resultados</x:v>
      </x:c>
      <x:c r="E45" s="58" t="str">
        <x:v>FY26 ventas, EBITDA, EPS ajustado, FCF y deuda</x:v>
      </x:c>
      <x:c r="F45" s="40" t="str">
        <x:v>https://www.investegate.co.uk/index.php/announcement/rns/b-m-european-value-retail-s-a-di---bme/fy26-preliminary-results-/9598419</x:v>
      </x:c>
      <x:c r="G45" s="58" t="str">
        <x:v>Comunicado oficial de resultados.</x:v>
      </x:c>
    </x:row>
    <x:row r="46" ht="171.60000610351562" hidden="0" customHeight="1">
      <x:c r="A46" s="58" t="str">
        <x:v>BME-Q1-27</x:v>
      </x:c>
      <x:c r="B46" s="58" t="str">
        <x:v>B&amp;M European Value Retail</x:v>
      </x:c>
      <x:c r="C46" s="59" t="n">
        <x:v>46218</x:v>
      </x:c>
      <x:c r="D46" s="58" t="str">
        <x:v>Resultados</x:v>
      </x:c>
      <x:c r="E46" s="58" t="str">
        <x:v>Q1 FY27 ventas, LFL UK/Francia/Heron y margen</x:v>
      </x:c>
      <x:c r="F46" s="40" t="str">
        <x:v>https://www.investegate.co.uk/announcement/rns/b-m-european-value-retail-s-a-di---bme/q1-fy27-trading-statement-/9668951</x:v>
      </x:c>
      <x:c r="G46" s="58" t="str">
        <x:v>Actualización operativa más reciente.</x:v>
      </x:c>
    </x:row>
    <x:row r="47" ht="105.5999984741211" hidden="0" customHeight="1">
      <x:c r="A47" s="58" t="str">
        <x:v>BME-CAL</x:v>
      </x:c>
      <x:c r="B47" s="58" t="str">
        <x:v>B&amp;M European Value Retail</x:v>
      </x:c>
      <x:c r="C47" s="59" t="n">
        <x:v>46238</x:v>
      </x:c>
      <x:c r="D47" s="58" t="str">
        <x:v>Calendario</x:v>
      </x:c>
      <x:c r="E47" s="58" t="str">
        <x:v>Calendario de trading updates; próxima fecha aún no publicada</x:v>
      </x:c>
      <x:c r="F47" s="40" t="str">
        <x:v>https://www.bandmretail.com/investors/financial-calendar</x:v>
      </x:c>
      <x:c r="G47" s="58" t="str">
        <x:v>Usar noviembre como revisión tentativa y confirmar fecha.</x:v>
      </x:c>
    </x:row>
    <x:row r="48" ht="105.5999984741211" hidden="0" customHeight="1">
      <x:c r="A48" s="58" t="str">
        <x:v>KNOS-MKT</x:v>
      </x:c>
      <x:c r="B48" s="58" t="str">
        <x:v>Kainos Group</x:v>
      </x:c>
      <x:c r="C48" s="59" t="n">
        <x:v>46238</x:v>
      </x:c>
      <x:c r="D48" s="58" t="str">
        <x:v>Mercado</x:v>
      </x:c>
      <x:c r="E48" s="58" t="str">
        <x:v>Precio, capitalización, PER, EPS, dividendo y yield</x:v>
      </x:c>
      <x:c r="F48" s="40" t="str">
        <x:v>https://www.lse.co.uk/SharePrice.html?share=Kainos-group&amp;shareprice=KNOS</x:v>
      </x:c>
      <x:c r="G48" s="58" t="str">
        <x:v>Snapshot LSE; actualizar antes de decidir.</x:v>
      </x:c>
    </x:row>
    <x:row r="49" ht="132" hidden="0" customHeight="1">
      <x:c r="A49" s="58" t="str">
        <x:v>KNOS-FY26</x:v>
      </x:c>
      <x:c r="B49" s="58" t="str">
        <x:v>Kainos Group</x:v>
      </x:c>
      <x:c r="C49" s="59" t="n">
        <x:v>46160</x:v>
      </x:c>
      <x:c r="D49" s="58" t="str">
        <x:v>Resultados</x:v>
      </x:c>
      <x:c r="E49" s="58" t="str">
        <x:v>FY26 ventas, beneficio, EPS, bookings, backlog, ARR y caja</x:v>
      </x:c>
      <x:c r="F49" s="40" t="str">
        <x:v>https://www.investegate.co.uk/announcement/rns/kainos-group--knos/full-year-results/9571881</x:v>
      </x:c>
      <x:c r="G49" s="58" t="str">
        <x:v>Comunicado oficial de resultados.</x:v>
      </x:c>
    </x:row>
    <x:row r="50" ht="118.80000305175781" hidden="0" customHeight="1">
      <x:c r="A50" s="58" t="str">
        <x:v>KNOS-CAL</x:v>
      </x:c>
      <x:c r="B50" s="58" t="str">
        <x:v>Kainos Group</x:v>
      </x:c>
      <x:c r="C50" s="59" t="n">
        <x:v>46238</x:v>
      </x:c>
      <x:c r="D50" s="58" t="str">
        <x:v>Calendario</x:v>
      </x:c>
      <x:c r="E50" s="58" t="str">
        <x:v>Trading update FY27 el 07-sep-2026 e interinos el 09-nov-2026</x:v>
      </x:c>
      <x:c r="F50" s="40" t="str">
        <x:v>https://www.kainos.com/investor-relations/regulatory-news-and-events</x:v>
      </x:c>
      <x:c r="G50" s="58" t="str">
        <x:v>Calendario provisional de la compañía.</x:v>
      </x:c>
    </x:row>
    <x:row r="51" ht="79.19999694824219" hidden="0" customHeight="1">
      <x:c r="A51" s="58" t="str">
        <x:v>PLUS-MKT</x:v>
      </x:c>
      <x:c r="B51" s="58" t="str">
        <x:v>Plus500</x:v>
      </x:c>
      <x:c r="C51" s="59" t="n">
        <x:v>46238</x:v>
      </x:c>
      <x:c r="D51" s="58" t="str">
        <x:v>Mercado</x:v>
      </x:c>
      <x:c r="E51" s="58" t="str">
        <x:v>Precio, capitalización, PER, EPS, dividendo y yield</x:v>
      </x:c>
      <x:c r="F51" s="40" t="str">
        <x:v>https://www.lse.co.uk/SharePrice.html?shareprice=PLUS</x:v>
      </x:c>
      <x:c r="G51" s="58" t="str">
        <x:v>Snapshot LSE; actualizar antes de decidir.</x:v>
      </x:c>
    </x:row>
    <x:row r="52" ht="132" hidden="0" customHeight="1">
      <x:c r="A52" s="58" t="str">
        <x:v>PLUS-FY25</x:v>
      </x:c>
      <x:c r="B52" s="58" t="str">
        <x:v>Plus500</x:v>
      </x:c>
      <x:c r="C52" s="59" t="n">
        <x:v>46062</x:v>
      </x:c>
      <x:c r="D52" s="58" t="str">
        <x:v>Resultados</x:v>
      </x:c>
      <x:c r="E52" s="58" t="str">
        <x:v>FY25 ventas, EBITDA, PAT, EPS, caja y cash flow</x:v>
      </x:c>
      <x:c r="F52" s="40" t="str">
        <x:v>https://cdn.plus500.com/Media/Investors/Reports/Plus500_Preliminary_Results_FY2025.pdf</x:v>
      </x:c>
      <x:c r="G52" s="58" t="str">
        <x:v>Fuente oficial; resultados preliminares y estados condensados.</x:v>
      </x:c>
    </x:row>
    <x:row r="53" ht="158.39999389648438" hidden="0" customHeight="1">
      <x:c r="A53" s="58" t="str">
        <x:v>PLUS-H1-26</x:v>
      </x:c>
      <x:c r="B53" s="58" t="str">
        <x:v>Plus500</x:v>
      </x:c>
      <x:c r="C53" s="59" t="n">
        <x:v>46216</x:v>
      </x:c>
      <x:c r="D53" s="58" t="str">
        <x:v>Resultados</x:v>
      </x:c>
      <x:c r="E53" s="58" t="str">
        <x:v>H1 FY26 ventas, EBITDA, clientes, customer income y caja</x:v>
      </x:c>
      <x:c r="F53" s="40" t="str">
        <x:v>https://www.investegate.co.uk/announcement/rns/plus500-ltd-di---plus/half-year-2026-trading-update/9664194</x:v>
      </x:c>
      <x:c r="G53" s="58" t="str">
        <x:v>Actualización oficial; resultados completos el 10-ago-2026.</x:v>
      </x:c>
    </x:row>
    <x:row r="54" ht="66" hidden="0" customHeight="1">
      <x:c r="A54" s="58" t="str">
        <x:v>PLUS-CAL</x:v>
      </x:c>
      <x:c r="B54" s="58" t="str">
        <x:v>Plus500</x:v>
      </x:c>
      <x:c r="C54" s="59" t="n">
        <x:v>46238</x:v>
      </x:c>
      <x:c r="D54" s="58" t="str">
        <x:v>Calendario</x:v>
      </x:c>
      <x:c r="E54" s="58" t="str">
        <x:v>Resultados H1 2026 el 10-ago-2026</x:v>
      </x:c>
      <x:c r="F54" s="40" t="str">
        <x:v>https://cdn-investors.plus500.com/Shareholder</x:v>
      </x:c>
      <x:c r="G54" s="58" t="str">
        <x:v>Fecha confirmada por la compañía.</x:v>
      </x:c>
    </x:row>
    <x:row r="55" ht="118.80000305175781" hidden="0" customHeight="1">
      <x:c r="A55" s="58" t="str">
        <x:v>RMV-MKT</x:v>
      </x:c>
      <x:c r="B55" s="58" t="str">
        <x:v>Rightmove</x:v>
      </x:c>
      <x:c r="C55" s="59" t="n">
        <x:v>46238</x:v>
      </x:c>
      <x:c r="D55" s="58" t="str">
        <x:v>Mercado</x:v>
      </x:c>
      <x:c r="E55" s="58" t="str">
        <x:v>Precio, capitalización, PER, EPS, dividendo y yield</x:v>
      </x:c>
      <x:c r="F55" s="40" t="str">
        <x:v>https://www.lse.co.uk/ShareFundamentals.html?share=rightmove&amp;shareprice=RMV</x:v>
      </x:c>
      <x:c r="G55" s="58" t="str">
        <x:v>Snapshot actualizado; el PER 16.90x usa EPS FY25 de 28.10p.</x:v>
      </x:c>
    </x:row>
    <x:row r="56" ht="118.80000305175781" hidden="0" customHeight="1">
      <x:c r="A56" s="58" t="str">
        <x:v>RMV-FY25</x:v>
      </x:c>
      <x:c r="B56" s="58" t="str">
        <x:v>Rightmove</x:v>
      </x:c>
      <x:c r="C56" s="59" t="n">
        <x:v>46080</x:v>
      </x:c>
      <x:c r="D56" s="58" t="str">
        <x:v>Resultados</x:v>
      </x:c>
      <x:c r="E56" s="58" t="str">
        <x:v>FY25 ingresos, beneficio operativo, EPS y guía 2026</x:v>
      </x:c>
      <x:c r="F56" s="40" t="str">
        <x:v>https://plc.rightmove.co.uk/content/uploads/2026/02/Rightmove-RNS-27.02.26.pdf</x:v>
      </x:c>
      <x:c r="G56" s="58" t="str">
        <x:v>Resultados oficiales; H1 2026 publicado el 31-jul-2026.</x:v>
      </x:c>
    </x:row>
    <x:row r="57" ht="145.1999969482422" hidden="0" customHeight="1">
      <x:c r="A57" s="58" t="str">
        <x:v>RMV-CONS</x:v>
      </x:c>
      <x:c r="B57" s="58" t="str">
        <x:v>Rightmove</x:v>
      </x:c>
      <x:c r="C57" s="59" t="n">
        <x:v>46230</x:v>
      </x:c>
      <x:c r="D57" s="58" t="str">
        <x:v>Consenso</x:v>
      </x:c>
      <x:c r="E57" s="58" t="str">
        <x:v>Consenso H1/FY26-FY28 de ingresos, EBIT y EPS</x:v>
      </x:c>
      <x:c r="F57" s="40" t="str">
        <x:v>https://plc.rightmove.co.uk/content/uploads/2026/07/Rightmove_Modular-Finance-IR-Consensus.pdf</x:v>
      </x:c>
      <x:c r="G57" s="58" t="str">
        <x:v>Estimaciones sell-side; no son guidance de la compañía.</x:v>
      </x:c>
    </x:row>
    <x:row r="58" ht="66" hidden="0" customHeight="1">
      <x:c r="A58" s="58" t="str">
        <x:v>RMV-CAL</x:v>
      </x:c>
      <x:c r="B58" s="58" t="str">
        <x:v>Rightmove</x:v>
      </x:c>
      <x:c r="C58" s="59" t="n">
        <x:v>46238</x:v>
      </x:c>
      <x:c r="D58" s="58" t="str">
        <x:v>Calendario</x:v>
      </x:c>
      <x:c r="E58" s="58" t="str">
        <x:v>IR, resultados y trading updates</x:v>
      </x:c>
      <x:c r="F58" s="40" t="str">
        <x:v>https://plc.rightmove.co.uk/</x:v>
      </x:c>
      <x:c r="G58" s="58" t="str">
        <x:v>Confirmar la siguiente fecha tras H1.</x:v>
      </x:c>
    </x:row>
    <x:row r="59" ht="132" hidden="0" customHeight="1">
      <x:c r="A59" s="58" t="str">
        <x:v>GAW-MKT</x:v>
      </x:c>
      <x:c r="B59" s="58" t="str">
        <x:v>Games Workshop</x:v>
      </x:c>
      <x:c r="C59" s="59" t="n">
        <x:v>46238</x:v>
      </x:c>
      <x:c r="D59" s="58" t="str">
        <x:v>Mercado</x:v>
      </x:c>
      <x:c r="E59" s="58" t="str">
        <x:v>Precio, capitalización, PER, EPS, dividendo y yield</x:v>
      </x:c>
      <x:c r="F59" s="40" t="str">
        <x:v>https://www.lse.co.uk/ShareFundamentals.html?share=Games-Workshop&amp;shareprice=GAW</x:v>
      </x:c>
      <x:c r="G59" s="58" t="str">
        <x:v>Snapshot de mercado; actualizar antes de decidir.</x:v>
      </x:c>
    </x:row>
    <x:row r="60" ht="198" hidden="0" customHeight="1">
      <x:c r="A60" s="58" t="str">
        <x:v>GAW-FY26</x:v>
      </x:c>
      <x:c r="B60" s="58" t="str">
        <x:v>Games Workshop</x:v>
      </x:c>
      <x:c r="C60" s="59" t="n">
        <x:v>46231</x:v>
      </x:c>
      <x:c r="D60" s="58" t="str">
        <x:v>Resultados</x:v>
      </x:c>
      <x:c r="E60" s="58" t="str">
        <x:v>FY26 ingresos, beneficio, EPS, caja y balance</x:v>
      </x:c>
      <x:c r="F60" s="40" t="str">
        <x:v>https://assets.ctfassets.net/ost7hseic9hc/6nI9MLA7hoRBfs2OA1oE5R/a17f82fdef64028ff1f03f03c4dc4cbf/Press_Statement_2025-26_FINAL_v3.pdf</x:v>
      </x:c>
      <x:c r="G60" s="58" t="str">
        <x:v>Press statement oficial; ejercicio terminado el 31-may-2026.</x:v>
      </x:c>
    </x:row>
    <x:row r="61" ht="92.4000015258789" hidden="0" customHeight="1">
      <x:c r="A61" s="58" t="str">
        <x:v>GAW-CAL</x:v>
      </x:c>
      <x:c r="B61" s="58" t="str">
        <x:v>Games Workshop</x:v>
      </x:c>
      <x:c r="C61" s="59" t="n">
        <x:v>46238</x:v>
      </x:c>
      <x:c r="D61" s="58" t="str">
        <x:v>Calendario</x:v>
      </x:c>
      <x:c r="E61" s="58" t="str">
        <x:v>Fecha de resultados FY26 y calendario de inversores</x:v>
      </x:c>
      <x:c r="F61" s="40" t="str">
        <x:v>https://investor.games-workshop.com/financial-calendar</x:v>
      </x:c>
      <x:c r="G61" s="58" t="str">
        <x:v>Usar noviembre como revisión tentativa de trading.</x:v>
      </x:c>
    </x:row>
    <x:row r="62" ht="79.19999694824219" hidden="0" customHeight="1">
      <x:c r="A62" s="58" t="str">
        <x:v>CCC-MKT</x:v>
      </x:c>
      <x:c r="B62" s="58" t="str">
        <x:v>Computacenter</x:v>
      </x:c>
      <x:c r="C62" s="59" t="n">
        <x:v>46238</x:v>
      </x:c>
      <x:c r="D62" s="58" t="str">
        <x:v>Mercado</x:v>
      </x:c>
      <x:c r="E62" s="58" t="str">
        <x:v>Precio, capitalización, PER, EPS, dividendo y yield</x:v>
      </x:c>
      <x:c r="F62" s="40" t="str">
        <x:v>https://www.lse.co.uk/SharePrice.html?shareprice=CCC</x:v>
      </x:c>
      <x:c r="G62" s="58" t="str">
        <x:v>Snapshot de mercado; actualizar antes de decidir.</x:v>
      </x:c>
    </x:row>
    <x:row r="63" ht="145.1999969482422" hidden="0" customHeight="1">
      <x:c r="A63" s="58" t="str">
        <x:v>CCC-FY25</x:v>
      </x:c>
      <x:c r="B63" s="58" t="str">
        <x:v>Computacenter</x:v>
      </x:c>
      <x:c r="C63" s="59" t="n">
        <x:v>46093</x:v>
      </x:c>
      <x:c r="D63" s="58" t="str">
        <x:v>Resultados</x:v>
      </x:c>
      <x:c r="E63" s="58" t="str">
        <x:v>FY25 ingresos, beneficio operativo, EPS y net funds</x:v>
      </x:c>
      <x:c r="F63" s="40" t="str">
        <x:v>https://investors.computacenter.com/news-releases/news-release-details/computacenter-final-results-2025</x:v>
      </x:c>
      <x:c r="G63" s="58" t="str">
        <x:v>Resultados oficiales; cifras ajustadas.</x:v>
      </x:c>
    </x:row>
    <x:row r="64" ht="79.19999694824219" hidden="0" customHeight="1">
      <x:c r="A64" s="58" t="str">
        <x:v>CCC-Q1-26</x:v>
      </x:c>
      <x:c r="B64" s="58" t="str">
        <x:v>Computacenter</x:v>
      </x:c>
      <x:c r="C64" s="59" t="n">
        <x:v>46136</x:v>
      </x:c>
      <x:c r="D64" s="58" t="str">
        <x:v>Resultados</x:v>
      </x:c>
      <x:c r="E64" s="58" t="str">
        <x:v>Q1 2026, trading, consenso y próximo H1</x:v>
      </x:c>
      <x:c r="F64" s="40" t="str">
        <x:v>https://investors.computacenter.com/node/15316/pdf</x:v>
      </x:c>
      <x:c r="G64" s="58" t="str">
        <x:v>Actualización oficial; H1 el 08-sep-2026.</x:v>
      </x:c>
    </x:row>
    <x:row r="65" ht="132" hidden="0" customHeight="1">
      <x:c r="A65" s="58" t="str">
        <x:v>HWDN-MKT</x:v>
      </x:c>
      <x:c r="B65" s="58" t="str">
        <x:v>Howdens Joinery</x:v>
      </x:c>
      <x:c r="C65" s="59" t="n">
        <x:v>46238</x:v>
      </x:c>
      <x:c r="D65" s="58" t="str">
        <x:v>Mercado</x:v>
      </x:c>
      <x:c r="E65" s="58" t="str">
        <x:v>Precio, capitalización, PER, EPS, dividendo y yield</x:v>
      </x:c>
      <x:c r="F65" s="40" t="str">
        <x:v>https://www.lse.co.uk/ShareFundamentals.html?share=Howden-Joinery&amp;shareprice=HWDN</x:v>
      </x:c>
      <x:c r="G65" s="58" t="str">
        <x:v>Snapshot actualizado; actualizar antes de decidir.</x:v>
      </x:c>
    </x:row>
    <x:row r="66" ht="92.4000015258789" hidden="0" customHeight="1">
      <x:c r="A66" s="58" t="str">
        <x:v>HWDN-H1-26</x:v>
      </x:c>
      <x:c r="B66" s="58" t="str">
        <x:v>Howdens Joinery</x:v>
      </x:c>
      <x:c r="C66" s="59" t="n">
        <x:v>46226</x:v>
      </x:c>
      <x:c r="D66" s="58" t="str">
        <x:v>Resultados</x:v>
      </x:c>
      <x:c r="E66" s="58" t="str">
        <x:v>H1 2026 ventas, margen, EBIT, EPS y caja</x:v>
      </x:c>
      <x:c r="F66" s="40" t="str">
        <x:v>https://www.lse.co.uk/rns/half-year-report-71qu4k9hnaywgyi.html</x:v>
      </x:c>
      <x:c r="G66" s="58" t="str">
        <x:v>Comunicado oficial distribuido por RNS.</x:v>
      </x:c>
    </x:row>
    <x:row r="67" ht="118.80000305175781" hidden="0" customHeight="1">
      <x:c r="A67" s="58" t="str">
        <x:v>HWDN-CAL</x:v>
      </x:c>
      <x:c r="B67" s="58" t="str">
        <x:v>Howdens Joinery</x:v>
      </x:c>
      <x:c r="C67" s="59" t="n">
        <x:v>46079</x:v>
      </x:c>
      <x:c r="D67" s="58" t="str">
        <x:v>Calendario</x:v>
      </x:c>
      <x:c r="E67" s="58" t="str">
        <x:v>Trading update y resultados H1 2026</x:v>
      </x:c>
      <x:c r="F67" s="40" t="str">
        <x:v>https://www.howdenjoinerygroupplc.com/media-centre/archive/2026/260226.asp</x:v>
      </x:c>
      <x:c r="G67" s="58" t="str">
        <x:v>La compañía señaló trading update el 05-nov-2026.</x:v>
      </x:c>
    </x:row>
    <x:row r="68" ht="92.4000015258789" hidden="0" customHeight="1">
      <x:c r="A68" s="58" t="str">
        <x:v>DOM-MKT</x:v>
      </x:c>
      <x:c r="B68" s="58" t="str">
        <x:v>Domino's Pizza Group</x:v>
      </x:c>
      <x:c r="C68" s="59" t="n">
        <x:v>46238</x:v>
      </x:c>
      <x:c r="D68" s="58" t="str">
        <x:v>Mercado</x:v>
      </x:c>
      <x:c r="E68" s="58" t="str">
        <x:v>Precio, capitalización, PER, EPS, dividendo y yield</x:v>
      </x:c>
      <x:c r="F68" s="40" t="str">
        <x:v>https://www.lse.co.uk/SharePrice.html?share=DOM&amp;shareprice=DOM</x:v>
      </x:c>
      <x:c r="G68" s="58" t="str">
        <x:v>Snapshot de mercado; actualizar antes de decidir.</x:v>
      </x:c>
    </x:row>
    <x:row r="69" ht="145.1999969482422" hidden="0" customHeight="1">
      <x:c r="A69" s="58" t="str">
        <x:v>DOM-FY25</x:v>
      </x:c>
      <x:c r="B69" s="58" t="str">
        <x:v>Domino's Pizza Group</x:v>
      </x:c>
      <x:c r="C69" s="59" t="n">
        <x:v>46084</x:v>
      </x:c>
      <x:c r="D69" s="58" t="str">
        <x:v>Resultados</x:v>
      </x:c>
      <x:c r="E69" s="58" t="str">
        <x:v>FY25 ventas, EBITDA, PBT, EPS, dividendo y primeras semanas de 2026</x:v>
      </x:c>
      <x:c r="F69" s="40" t="str">
        <x:v>https://investors.dominos.co.uk/media/news/preliminary-results-52-weeks-ended-28-december-2025</x:v>
      </x:c>
      <x:c r="G69" s="58" t="str">
        <x:v>Resultados oficiales; H1 2026 el 04-ago-2026.</x:v>
      </x:c>
    </x:row>
    <x:row r="70" ht="92.4000015258789" hidden="0" customHeight="1">
      <x:c r="A70" s="58" t="str">
        <x:v>DOM-CAL</x:v>
      </x:c>
      <x:c r="B70" s="58" t="str">
        <x:v>Domino's Pizza Group</x:v>
      </x:c>
      <x:c r="C70" s="59" t="n">
        <x:v>46238</x:v>
      </x:c>
      <x:c r="D70" s="58" t="str">
        <x:v>Calendario</x:v>
      </x:c>
      <x:c r="E70" s="58" t="str">
        <x:v>Resultados H1 2026</x:v>
      </x:c>
      <x:c r="F70" s="40" t="str">
        <x:v>https://investors.dominos.co.uk/investors/overview/financial-calendar</x:v>
      </x:c>
      <x:c r="G70" s="58" t="str">
        <x:v>Fecha confirmada; revisar el día siguiente.</x:v>
      </x:c>
    </x:row>
    <x:row r="71" ht="92.4000015258789" hidden="0" customHeight="1">
      <x:c r="A71" s="58" t="str">
        <x:v>BWY-MKT</x:v>
      </x:c>
      <x:c r="B71" s="58" t="str">
        <x:v>Bellway</x:v>
      </x:c>
      <x:c r="C71" s="59" t="n">
        <x:v>46238</x:v>
      </x:c>
      <x:c r="D71" s="58" t="str">
        <x:v>Mercado</x:v>
      </x:c>
      <x:c r="E71" s="58" t="str">
        <x:v>Precio, capitalización, PER, EPS, dividendo y yield</x:v>
      </x:c>
      <x:c r="F71" s="40" t="str">
        <x:v>https://www.lse.co.uk/ShareFundamentals.html?shareprice=BWY</x:v>
      </x:c>
      <x:c r="G71" s="58" t="str">
        <x:v>Snapshot de mercado; actualizar antes de decidir.</x:v>
      </x:c>
    </x:row>
    <x:row r="72" ht="105.5999984741211" hidden="0" customHeight="1">
      <x:c r="A72" s="58" t="str">
        <x:v>BWY-TRD</x:v>
      </x:c>
      <x:c r="B72" s="58" t="str">
        <x:v>Bellway</x:v>
      </x:c>
      <x:c r="C72" s="59" t="n">
        <x:v>46182</x:v>
      </x:c>
      <x:c r="D72" s="58" t="str">
        <x:v>Trading update</x:v>
      </x:c>
      <x:c r="E72" s="58" t="str">
        <x:v>Guía FY26, orderbook, deuda neta, volúmenes y próximo update</x:v>
      </x:c>
      <x:c r="F72" s="40" t="str">
        <x:v>https://www.lse.co.uk/rns/BWY/trading-update-l3zs9rgixwf4hq0.html</x:v>
      </x:c>
      <x:c r="G72" s="58" t="str">
        <x:v>Comunicado oficial; próximo trading update 11-ago-2026.</x:v>
      </x:c>
    </x:row>
    <x:row r="73" ht="105.5999984741211" hidden="0" customHeight="1">
      <x:c r="A73" s="58" t="str">
        <x:v>BWY-CAL</x:v>
      </x:c>
      <x:c r="B73" s="58" t="str">
        <x:v>Bellway</x:v>
      </x:c>
      <x:c r="C73" s="59" t="n">
        <x:v>46238</x:v>
      </x:c>
      <x:c r="D73" s="58" t="str">
        <x:v>Calendario</x:v>
      </x:c>
      <x:c r="E73" s="58" t="str">
        <x:v>Trading update 11-ago-2026 y resultados FY26 13-oct-2026</x:v>
      </x:c>
      <x:c r="F73" s="40" t="str">
        <x:v>https://www.bellwayplc.co.uk/investor-centre/financial-calendar</x:v>
      </x:c>
      <x:c r="G73" s="58" t="str">
        <x:v>Fechas confirmadas por la compañía.</x:v>
      </x:c>
    </x:row>
    <x:row r="74" ht="79.19999694824219" hidden="0" customHeight="1">
      <x:c r="A74" s="58" t="str">
        <x:v>BAB-MKT</x:v>
      </x:c>
      <x:c r="B74" s="58" t="str">
        <x:v>Babcock International</x:v>
      </x:c>
      <x:c r="C74" s="59" t="n">
        <x:v>46238</x:v>
      </x:c>
      <x:c r="D74" s="58" t="str">
        <x:v>Mercado</x:v>
      </x:c>
      <x:c r="E74" s="58" t="str">
        <x:v>Precio, capitalización, PER, EPS, dividendo y yield</x:v>
      </x:c>
      <x:c r="F74" s="40" t="str">
        <x:v>https://www.lse.co.uk/rns/BAB/</x:v>
      </x:c>
      <x:c r="G74" s="58" t="str">
        <x:v>Snapshot RNS; PER calculado sobre EPS subyacente.</x:v>
      </x:c>
    </x:row>
    <x:row r="75" ht="158.39999389648438" hidden="0" customHeight="1">
      <x:c r="A75" s="58" t="str">
        <x:v>BAB-FY26</x:v>
      </x:c>
      <x:c r="B75" s="58" t="str">
        <x:v>Babcock International</x:v>
      </x:c>
      <x:c r="C75" s="59" t="n">
        <x:v>46195</x:v>
      </x:c>
      <x:c r="D75" s="58" t="str">
        <x:v>Resultados</x:v>
      </x:c>
      <x:c r="E75" s="58" t="str">
        <x:v>FY26 ingresos, beneficio, EPS, FCF, backlog, deuda y recompra</x:v>
      </x:c>
      <x:c r="F75" s="40" t="str">
        <x:v>https://www.babcockinternational.com/wp-content/uploads/2026/06/Babcock-FY26-results-presentation-22.06.26.pdf</x:v>
      </x:c>
      <x:c r="G75" s="58" t="str">
        <x:v>Presentación oficial; Type 31 genera cargo extraordinario.</x:v>
      </x:c>
    </x:row>
    <x:row r="76" ht="105.5999984741211" hidden="0" customHeight="1">
      <x:c r="A76" s="58" t="str">
        <x:v>BAB-CAL</x:v>
      </x:c>
      <x:c r="B76" s="58" t="str">
        <x:v>Babcock International</x:v>
      </x:c>
      <x:c r="C76" s="59" t="n">
        <x:v>46238</x:v>
      </x:c>
      <x:c r="D76" s="58" t="str">
        <x:v>Calendario</x:v>
      </x:c>
      <x:c r="E76" s="58" t="str">
        <x:v>Resultados y reporting de inversores</x:v>
      </x:c>
      <x:c r="F76" s="40" t="str">
        <x:v>https://www.babcockinternational.com/investors/results-and-reporting/</x:v>
      </x:c>
      <x:c r="G76" s="58" t="str">
        <x:v>Confirmar fecha de H1 FY27.</x:v>
      </x:c>
    </x:row>
    <x:row r="77" ht="118.80000305175781" hidden="0" customHeight="1">
      <x:c r="A77" s="58" t="str">
        <x:v>OXIG-MKT</x:v>
      </x:c>
      <x:c r="B77" s="58" t="str">
        <x:v>Oxford Instruments</x:v>
      </x:c>
      <x:c r="C77" s="59" t="n">
        <x:v>46238</x:v>
      </x:c>
      <x:c r="D77" s="58" t="str">
        <x:v>Mercado</x:v>
      </x:c>
      <x:c r="E77" s="58" t="str">
        <x:v>Precio, capitalización, PER, EPS, dividendo y yield</x:v>
      </x:c>
      <x:c r="F77" s="40" t="str">
        <x:v>https://www.lse.co.uk/SharePrice.html?share=Oxford-Instruments&amp;shareprice=OXIG</x:v>
      </x:c>
      <x:c r="G77" s="58" t="str">
        <x:v>Snapshot de mercado; actualizar antes de decidir.</x:v>
      </x:c>
    </x:row>
    <x:row r="78" ht="145.1999969482422" hidden="0" customHeight="1">
      <x:c r="A78" s="58" t="str">
        <x:v>OXIG-FY26</x:v>
      </x:c>
      <x:c r="B78" s="58" t="str">
        <x:v>Oxford Instruments</x:v>
      </x:c>
      <x:c r="C78" s="59" t="n">
        <x:v>46182</x:v>
      </x:c>
      <x:c r="D78" s="58" t="str">
        <x:v>Resultados</x:v>
      </x:c>
      <x:c r="E78" s="58" t="str">
        <x:v>FY26 ingresos, margen, EPS, caja, order intake y book-to-bill</x:v>
      </x:c>
      <x:c r="F78" s="40" t="str">
        <x:v>https://www.oxinst.com/assets/uploads/Oxford_Instruments_plc_preliminary_FY26_results_9_June_2026.pdf</x:v>
      </x:c>
      <x:c r="G78" s="58" t="str">
        <x:v>Resultados preliminares oficiales.</x:v>
      </x:c>
    </x:row>
    <x:row r="79" ht="92.4000015258789" hidden="0" customHeight="1">
      <x:c r="A79" s="58" t="str">
        <x:v>OXIG-CAL</x:v>
      </x:c>
      <x:c r="B79" s="58" t="str">
        <x:v>Oxford Instruments</x:v>
      </x:c>
      <x:c r="C79" s="59" t="n">
        <x:v>46238</x:v>
      </x:c>
      <x:c r="D79" s="58" t="str">
        <x:v>Calendario</x:v>
      </x:c>
      <x:c r="E79" s="58" t="str">
        <x:v>Resultados financieros y presentaciones</x:v>
      </x:c>
      <x:c r="F79" s="40" t="str">
        <x:v>https://www.oxinst.com/investors/financial-reports-and-presentations</x:v>
      </x:c>
      <x:c r="G79" s="58" t="str">
        <x:v>Usar noviembre como revisión tentativa de interinos.</x:v>
      </x:c>
    </x:row>
    <x:row r="80" ht="132" hidden="0" customHeight="1">
      <x:c r="A80" s="58" t="str">
        <x:v>FOUR-MKT</x:v>
      </x:c>
      <x:c r="B80" s="58" t="str">
        <x:v>4imprint Group</x:v>
      </x:c>
      <x:c r="C80" s="59" t="n">
        <x:v>46238</x:v>
      </x:c>
      <x:c r="D80" s="58" t="str">
        <x:v>Mercado</x:v>
      </x:c>
      <x:c r="E80" s="58" t="str">
        <x:v>Precio, capitalización, PER, EPS, dividendo y yield</x:v>
      </x:c>
      <x:c r="F80" s="40" t="str">
        <x:v>https://www.lse.co.uk/SharePrice.html?share=4imprint-Grp&amp;shareprice=FOUR</x:v>
      </x:c>
      <x:c r="G80" s="58" t="str">
        <x:v>Snapshot actualizado; la cuenta de resultados está en USD y la cotización/EPS LSE en GBX.</x:v>
      </x:c>
    </x:row>
    <x:row r="81" ht="158.39999389648438" hidden="0" customHeight="1">
      <x:c r="A81" s="58" t="str">
        <x:v>FOUR-FY25</x:v>
      </x:c>
      <x:c r="B81" s="58" t="str">
        <x:v>4imprint Group</x:v>
      </x:c>
      <x:c r="C81" s="59" t="n">
        <x:v>46084</x:v>
      </x:c>
      <x:c r="D81" s="58" t="str">
        <x:v>Resultados</x:v>
      </x:c>
      <x:c r="E81" s="58" t="str">
        <x:v>FY25 ventas, beneficio, EPS, pedidos, caja y dividendos</x:v>
      </x:c>
      <x:c r="F81" s="40" t="str">
        <x:v>https://investors.4imprint.com/investors/latest-news/2026/final-results-for-the-period-ended-27-december-2025/</x:v>
      </x:c>
      <x:c r="G81" s="58" t="str">
        <x:v>Resultados oficiales; primeros dos meses de 2026 débiles.</x:v>
      </x:c>
    </x:row>
    <x:row r="82" ht="79.19999694824219" hidden="0" customHeight="1">
      <x:c r="A82" s="58" t="str">
        <x:v>FOUR-CAL</x:v>
      </x:c>
      <x:c r="B82" s="58" t="str">
        <x:v>4imprint Group</x:v>
      </x:c>
      <x:c r="C82" s="59" t="n">
        <x:v>46238</x:v>
      </x:c>
      <x:c r="D82" s="58" t="str">
        <x:v>Calendario</x:v>
      </x:c>
      <x:c r="E82" s="58" t="str">
        <x:v>Resultados H1 2026</x:v>
      </x:c>
      <x:c r="F82" s="40" t="str">
        <x:v>https://investors.4imprint.com/investors/financial-calendar/</x:v>
      </x:c>
      <x:c r="G82" s="58" t="str">
        <x:v>Fecha confirmada: 05-ago-2026.</x:v>
      </x:c>
    </x:row>
    <x:row r="83" ht="105.5999984741211" hidden="0" customHeight="1">
      <x:c r="A83" s="58" t="str">
        <x:v>JET2-MKT</x:v>
      </x:c>
      <x:c r="B83" s="58" t="str">
        <x:v>Jet2</x:v>
      </x:c>
      <x:c r="C83" s="59" t="n">
        <x:v>46238</x:v>
      </x:c>
      <x:c r="D83" s="58" t="str">
        <x:v>Mercado</x:v>
      </x:c>
      <x:c r="E83" s="58" t="str">
        <x:v>Precio, capitalización, PER, EPS, dividendo y yield</x:v>
      </x:c>
      <x:c r="F83" s="40" t="str">
        <x:v>https://www.lse.co.uk/SharePrice.html?share=Jet2-Plc&amp;shareprice=JET2</x:v>
      </x:c>
      <x:c r="G83" s="58" t="str">
        <x:v>Snapshot actualizado; actualizar antes de decidir.</x:v>
      </x:c>
    </x:row>
    <x:row r="84" ht="224.39999389648438" hidden="0" customHeight="1">
      <x:c r="A84" s="58" t="str">
        <x:v>JET2-FY26</x:v>
      </x:c>
      <x:c r="B84" s="58" t="str">
        <x:v>Jet2</x:v>
      </x:c>
      <x:c r="C84" s="59" t="n">
        <x:v>46233</x:v>
      </x:c>
      <x:c r="D84" s="58" t="str">
        <x:v>Resultados</x:v>
      </x:c>
      <x:c r="E84" s="58" t="str">
        <x:v>FY26 ingresos, beneficio, EPS, pasajeros, caja y capacidad 2026</x:v>
      </x:c>
      <x:c r="F84" s="40" t="str">
        <x:v>https://www.jet2.com/news/2026/07/-/media/Jet2/Jet2plc/Jet2Plc_Redesign2025/Reports/2026/Preliminary-results-2026/Jet2-plc-Preliminary-Results-2026.pdf</x:v>
      </x:c>
      <x:c r="G84" s="58" t="str">
        <x:v>Resultados preliminares oficiales.</x:v>
      </x:c>
    </x:row>
    <x:row r="85" ht="118.80000305175781" hidden="0" customHeight="1">
      <x:c r="A85" s="58" t="str">
        <x:v>JET2-CAL</x:v>
      </x:c>
      <x:c r="B85" s="58" t="str">
        <x:v>Jet2</x:v>
      </x:c>
      <x:c r="C85" s="59" t="n">
        <x:v>46238</x:v>
      </x:c>
      <x:c r="D85" s="58" t="str">
        <x:v>Calendario</x:v>
      </x:c>
      <x:c r="E85" s="58" t="str">
        <x:v>Resultados preliminares FY26 y noticias de inversores</x:v>
      </x:c>
      <x:c r="F85" s="40" t="str">
        <x:v>https://www.jet2.com/news/2026/07/Jet2_PLC_Publishes_Preliminary_Results_2026</x:v>
      </x:c>
      <x:c r="G85" s="58" t="str">
        <x:v>Usar noviembre como revisión post-temporada; confirmar calendario H1.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f1876c282e846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14" hidden="0" customWidth="1"/>
    <x:col min="4" max="4" width="14" hidden="0" customWidth="1"/>
    <x:col min="5" max="5" width="23" hidden="0" customWidth="1"/>
    <x:col min="6" max="6" width="38" hidden="0" customWidth="1"/>
    <x:col min="7" max="7" width="36" hidden="0" customWidth="1"/>
    <x:col min="8" max="8" width="40" hidden="0" customWidth="1"/>
    <x:col min="9" max="9" width="40" hidden="0" customWidth="1"/>
    <x:col min="10" max="10" width="38" hidden="0" customWidth="1"/>
    <x:col min="11" max="11" width="20" hidden="0" customWidth="1"/>
    <x:col min="12" max="12" width="14" hidden="0" customWidth="1"/>
  </x:cols>
  <x:sheetData>
    <x:row r="1" ht="19.200000762939453" hidden="0" customHeight="1">
      <x:c r="A1" s="34" t="str">
        <x:v>Seguimiento y próxima revisión</x:v>
      </x:c>
      <x:c r="B1" s="34" t="str">
        <x:v>Seguimiento y próxima revisión</x:v>
      </x:c>
      <x:c r="C1" s="34" t="str">
        <x:v>Seguimiento y próxima revisión</x:v>
      </x:c>
      <x:c r="D1" s="34" t="str">
        <x:v>Seguimiento y próxima revisión</x:v>
      </x:c>
      <x:c r="E1" s="34" t="str">
        <x:v>Seguimiento y próxima revisión</x:v>
      </x:c>
      <x:c r="F1" s="34" t="str">
        <x:v>Seguimiento y próxima revisión</x:v>
      </x:c>
      <x:c r="G1" s="34" t="str">
        <x:v>Seguimiento y próxima revisión</x:v>
      </x:c>
      <x:c r="H1" s="34" t="str">
        <x:v>Seguimiento y próxima revisión</x:v>
      </x:c>
      <x:c r="I1" s="34" t="str">
        <x:v>Seguimiento y próxima revisión</x:v>
      </x:c>
      <x:c r="J1" s="34" t="str">
        <x:v>Seguimiento y próxima revisión</x:v>
      </x:c>
      <x:c r="K1" s="34" t="str">
        <x:v>Seguimiento y próxima revisión</x:v>
      </x:c>
      <x:c r="L1" s="34" t="str">
        <x:v>Seguimiento y próxima revisión</x:v>
      </x:c>
    </x:row>
    <x:row r="2" ht="24" hidden="0" customHeight="1">
      <x:c r="A2" s="8" t="str">
        <x:v>La fecha es el siguiente punto de control. Cuando llegue, copia los datos nuevos en Historial, actualiza Watchlist y cambia el veredicto solo si la evidencia lo exige.</x:v>
      </x:c>
      <x:c r="B2" s="8" t="str">
        <x:v>La fecha es el siguiente punto de control. Cuando llegue, copia los datos nuevos en Historial, actualiza Watchlist y cambia el veredicto solo si la evidencia lo exige.</x:v>
      </x:c>
      <x:c r="C2" s="8" t="str">
        <x:v>La fecha es el siguiente punto de control. Cuando llegue, copia los datos nuevos en Historial, actualiza Watchlist y cambia el veredicto solo si la evidencia lo exige.</x:v>
      </x:c>
      <x:c r="D2" s="8" t="str">
        <x:v>La fecha es el siguiente punto de control. Cuando llegue, copia los datos nuevos en Historial, actualiza Watchlist y cambia el veredicto solo si la evidencia lo exige.</x:v>
      </x:c>
      <x:c r="E2" s="8" t="str">
        <x:v>La fecha es el siguiente punto de control. Cuando llegue, copia los datos nuevos en Historial, actualiza Watchlist y cambia el veredicto solo si la evidencia lo exige.</x:v>
      </x:c>
      <x:c r="F2" s="8" t="str">
        <x:v>La fecha es el siguiente punto de control. Cuando llegue, copia los datos nuevos en Historial, actualiza Watchlist y cambia el veredicto solo si la evidencia lo exige.</x:v>
      </x:c>
      <x:c r="G2" s="8" t="str">
        <x:v>La fecha es el siguiente punto de control. Cuando llegue, copia los datos nuevos en Historial, actualiza Watchlist y cambia el veredicto solo si la evidencia lo exige.</x:v>
      </x:c>
      <x:c r="H2" s="8" t="str">
        <x:v>La fecha es el siguiente punto de control. Cuando llegue, copia los datos nuevos en Historial, actualiza Watchlist y cambia el veredicto solo si la evidencia lo exige.</x:v>
      </x:c>
      <x:c r="I2" s="8" t="str">
        <x:v>La fecha es el siguiente punto de control. Cuando llegue, copia los datos nuevos en Historial, actualiza Watchlist y cambia el veredicto solo si la evidencia lo exige.</x:v>
      </x:c>
      <x:c r="J2" s="8" t="str">
        <x:v>La fecha es el siguiente punto de control. Cuando llegue, copia los datos nuevos en Historial, actualiza Watchlist y cambia el veredicto solo si la evidencia lo exige.</x:v>
      </x:c>
      <x:c r="K2" s="8" t="str">
        <x:v>La fecha es el siguiente punto de control. Cuando llegue, copia los datos nuevos en Historial, actualiza Watchlist y cambia el veredicto solo si la evidencia lo exige.</x:v>
      </x:c>
      <x:c r="L2" s="8" t="str">
        <x:v>La fecha es el siguiente punto de control. Cuando llegue, copia los datos nuevos en Historial, actualiza Watchlist y cambia el veredicto solo si la evidencia lo exige.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 ht="48" hidden="0" customHeight="1">
      <x:c r="A4" s="20" t="str">
        <x:v>Empresa</x:v>
      </x:c>
      <x:c r="B4" s="20" t="str">
        <x:v>Ticker</x:v>
      </x:c>
      <x:c r="C4" s="20" t="str">
        <x:v>Última revisión</x:v>
      </x:c>
      <x:c r="D4" s="20" t="str">
        <x:v>Próxima revisión</x:v>
      </x:c>
      <x:c r="E4" s="20" t="str">
        <x:v>Tipo</x:v>
      </x:c>
      <x:c r="F4" s="20" t="str">
        <x:v>Métricas a comparar</x:v>
      </x:c>
      <x:c r="G4" s="20" t="str">
        <x:v>Dato base</x:v>
      </x:c>
      <x:c r="H4" s="20" t="str">
        <x:v>Qué debe mejorar / mantenerse</x:v>
      </x:c>
      <x:c r="I4" s="20" t="str">
        <x:v>Condición de invalidación</x:v>
      </x:c>
      <x:c r="J4" s="20" t="str">
        <x:v>Acción siguiente</x:v>
      </x:c>
      <x:c r="K4" s="20" t="str">
        <x:v>Fuente / evento</x:v>
      </x:c>
      <x:c r="L4" s="20" t="str">
        <x:v>Estado</x:v>
      </x:c>
    </x:row>
    <x:row r="5" ht="132" hidden="0" customHeight="1">
      <x:c r="A5" s="58" t="str">
        <x:v>Atalaya Mining</x:v>
      </x:c>
      <x:c r="B5" s="58" t="str">
        <x:v>ATYM</x:v>
      </x:c>
      <x:c r="C5" s="59" t="n">
        <x:v>46238</x:v>
      </x:c>
      <x:c r="D5" s="59" t="n">
        <x:v>46328</x:v>
      </x:c>
      <x:c r="E5" s="58" t="str">
        <x:v>Existente / cíclica</x:v>
      </x:c>
      <x:c r="F5" s="58" t="str">
        <x:v>Cobre, producción, AISC, inventarios, FCF y caja</x:v>
      </x:c>
      <x:c r="G5" s="58" t="str">
        <x:v>PER 17.29x; FCF 107.4m; caja neta 122m</x:v>
      </x:c>
      <x:c r="H5" s="58" t="str">
        <x:v>Mantener producción y convertir EBITDA en FCF; Touro debe ser opcionalidad, no necesidad</x:v>
      </x:c>
      <x:c r="I5" s="58" t="str">
        <x:v>Costes/AISC suben, caja se consume o producción queda por debajo de guía</x:v>
      </x:c>
      <x:c r="J5" s="58" t="str">
        <x:v>Leer update; añadir periodo a Historial y revisar precio de entrada</x:v>
      </x:c>
      <x:c r="K5" s="58" t="str">
        <x:v>ATYM-FY25 / ATYM-Q2-26</x:v>
      </x:c>
      <x:c r="L5" s="126" t="str">
        <x:f>IF(D5&lt;=DATE(2026,8,4),"REVISAR YA",IF(D5&lt;=DATE(2026,9,3),"PRÓXIMA","PROGRAMADA"))</x:f>
        <x:v>PROGRAMADA</x:v>
      </x:c>
    </x:row>
    <x:row r="6" ht="118.80000305175781" hidden="0" customHeight="1">
      <x:c r="A6" s="58" t="str">
        <x:v>Rio Tinto</x:v>
      </x:c>
      <x:c r="B6" s="58" t="str">
        <x:v>RIO</x:v>
      </x:c>
      <x:c r="C6" s="59" t="n">
        <x:v>46238</x:v>
      </x:c>
      <x:c r="D6" s="59" t="n">
        <x:v>46328</x:v>
      </x:c>
      <x:c r="E6" s="58" t="str">
        <x:v>Existente / cíclica</x:v>
      </x:c>
      <x:c r="F6" s="58" t="str">
        <x:v>Cobre, hierro, aluminio, China, capex, deuda y FCF</x:v>
      </x:c>
      <x:c r="G6" s="58" t="str">
        <x:v>PER 16.05x; FCF 4,025m; deuda neta 14,362m</x:v>
      </x:c>
      <x:c r="H6" s="58" t="str">
        <x:v>Producción y caja deben sostener dividendo/capex sin elevar demasiado deuda</x:v>
      </x:c>
      <x:c r="I6" s="58" t="str">
        <x:v>Caída persistente de precios, capex descontrolado o deuda al alza</x:v>
      </x:c>
      <x:c r="J6" s="58" t="str">
        <x:v>Comparar resultados y actualizar sensibilidad por commodity</x:v>
      </x:c>
      <x:c r="K6" s="58" t="str">
        <x:v>RIO-H1-26</x:v>
      </x:c>
      <x:c r="L6" s="126" t="str">
        <x:f>IF(D6&lt;=DATE(2026,8,4),"REVISAR YA",IF(D6&lt;=DATE(2026,9,3),"PRÓXIMA","PROGRAMADA"))</x:f>
        <x:v>PROGRAMADA</x:v>
      </x:c>
    </x:row>
    <x:row r="7" ht="145.1999969482422" hidden="0" customHeight="1">
      <x:c r="A7" s="58" t="str">
        <x:v>eToro</x:v>
      </x:c>
      <x:c r="B7" s="58" t="str">
        <x:v>ETOR</x:v>
      </x:c>
      <x:c r="C7" s="59" t="n">
        <x:v>46238</x:v>
      </x:c>
      <x:c r="D7" s="59" t="n">
        <x:v>46245</x:v>
      </x:c>
      <x:c r="E7" s="58" t="str">
        <x:v>Nueva / alto crecimiento</x:v>
      </x:c>
      <x:c r="F7" s="58" t="str">
        <x:v>Net contribution, EBITDA, activos, cuentas financiadas, cripto y recompras</x:v>
      </x:c>
      <x:c r="G7" s="58" t="str">
        <x:v>PER 15.47x; Q1 net contribution +19%; EBITDA +35%</x:v>
      </x:c>
      <x:c r="H7" s="58" t="str">
        <x:v>Crecimiento de clientes/activos y beneficios por encima de la volatilidad del mercado</x:v>
      </x:c>
      <x:c r="I7" s="58" t="str">
        <x:v>Cuentas/activos se estancan, cripto explica el beneficio o margen se deteriora</x:v>
      </x:c>
      <x:c r="J7" s="58" t="str">
        <x:v>Leer Q2; actualizar ingresos, cash flow, estructura dual y tesis</x:v>
      </x:c>
      <x:c r="K7" s="58" t="str">
        <x:v>ETOR-Q1-26</x:v>
      </x:c>
      <x:c r="L7" s="126" t="str">
        <x:f>IF(D7&lt;=DATE(2026,8,4),"REVISAR YA",IF(D7&lt;=DATE(2026,9,3),"PRÓXIMA","PROGRAMADA"))</x:f>
        <x:v>PRÓXIMA</x:v>
      </x:c>
    </x:row>
    <x:row r="8" ht="145.1999969482422" hidden="0" customHeight="1">
      <x:c r="A8" s="58" t="str">
        <x:v>HBX Group</x:v>
      </x:c>
      <x:c r="B8" s="58" t="str">
        <x:v>HBX</x:v>
      </x:c>
      <x:c r="C8" s="59" t="n">
        <x:v>46238</x:v>
      </x:c>
      <x:c r="D8" s="59" t="n">
        <x:v>46351</x:v>
      </x:c>
      <x:c r="E8" s="58" t="str">
        <x:v>Nueva / crecimiento-cíclica</x:v>
      </x:c>
      <x:c r="F8" s="58" t="str">
        <x:v>TTV, margen, FCF, deuda, recompra y guía</x:v>
      </x:c>
      <x:c r="G8" s="58" t="str">
        <x:v>PER 10.21x; deuda neta 741m; TTV H1 +17% CC</x:v>
      </x:c>
      <x:c r="H8" s="58" t="str">
        <x:v>Reducir deuda y mantener crecimiento/FCF pese a guía revisada</x:v>
      </x:c>
      <x:c r="I8" s="58" t="str">
        <x:v>Guía vuelve a recortarse, deuda/FCF empeora o transición directiva falla</x:v>
      </x:c>
      <x:c r="J8" s="58" t="str">
        <x:v>Leer FY26; revisar si el descuento frente a IPO tiene fundamento</x:v>
      </x:c>
      <x:c r="K8" s="58" t="str">
        <x:v>HBX-H1-26</x:v>
      </x:c>
      <x:c r="L8" s="126" t="str">
        <x:f>IF(D8&lt;=DATE(2026,8,4),"REVISAR YA",IF(D8&lt;=DATE(2026,9,3),"PRÓXIMA","PROGRAMADA"))</x:f>
        <x:v>PROGRAMADA</x:v>
      </x:c>
    </x:row>
    <x:row r="9" ht="132" hidden="0" customHeight="1">
      <x:c r="A9" s="58" t="str">
        <x:v>Figma</x:v>
      </x:c>
      <x:c r="B9" s="58" t="str">
        <x:v>FIG</x:v>
      </x:c>
      <x:c r="C9" s="59" t="n">
        <x:v>46238</x:v>
      </x:c>
      <x:c r="D9" s="59" t="n">
        <x:v>46239</x:v>
      </x:c>
      <x:c r="E9" s="58" t="str">
        <x:v>Nueva / alto crecimiento</x:v>
      </x:c>
      <x:c r="F9" s="58" t="str">
        <x:v>Ingresos, FCF, NDR, clientes, SBC y guidance</x:v>
      </x:c>
      <x:c r="G9" s="58" t="str">
        <x:v>PER negativo; ingresos FY25 1,056m; FCF 242.7m</x:v>
      </x:c>
      <x:c r="H9" s="58" t="str">
        <x:v>Crecimiento &gt;35%, NDR alto y FCF creciendo más rápido que SBC/dilución</x:v>
      </x:c>
      <x:c r="I9" s="58" t="str">
        <x:v>Crecimiento &lt;25%, NDR cae, SBC sigue absorbiendo caja o guidance baja</x:v>
      </x:c>
      <x:c r="J9" s="58" t="str">
        <x:v>Leer Q2 antes de comprar; actualizar valoración sobre FCF normalizado</x:v>
      </x:c>
      <x:c r="K9" s="58" t="str">
        <x:v>FIG-Q2</x:v>
      </x:c>
      <x:c r="L9" s="126" t="str">
        <x:f>IF(D9&lt;=DATE(2026,8,4),"REVISAR YA",IF(D9&lt;=DATE(2026,9,3),"PRÓXIMA","PROGRAMADA"))</x:f>
        <x:v>PRÓXIMA</x:v>
      </x:c>
    </x:row>
    <x:row r="10" ht="118.80000305175781" hidden="0" customHeight="1">
      <x:c r="A10" s="58" t="str">
        <x:v>JD Sports Fashion</x:v>
      </x:c>
      <x:c r="B10" s="58" t="str">
        <x:v>JD.</x:v>
      </x:c>
      <x:c r="C10" s="59" t="n">
        <x:v>46238</x:v>
      </x:c>
      <x:c r="D10" s="59" t="n">
        <x:v>46254</x:v>
      </x:c>
      <x:c r="E10" s="58" t="str">
        <x:v>Madura / crecimiento</x:v>
      </x:c>
      <x:c r="F10" s="58" t="str">
        <x:v>Ventas LFL, margen, inventario, EE. UU., FCF y recompras</x:v>
      </x:c>
      <x:c r="G10" s="58" t="str">
        <x:v>PER 9.99x; ventas +10.5%; FCF 462m; op. profit -5.4%</x:v>
      </x:c>
      <x:c r="H10" s="58" t="str">
        <x:v>Recuperación de margen y crecimiento LFL sin acumular inventario</x:v>
      </x:c>
      <x:c r="I10" s="58" t="str">
        <x:v>Margen sigue bajando, inventario aumenta o EE. UU. no recupera LFL</x:v>
      </x:c>
      <x:c r="J10" s="58" t="str">
        <x:v>Leer trading update; recalcular PER con EPS actualizado</x:v>
      </x:c>
      <x:c r="K10" s="58" t="str">
        <x:v>JD-FY26 / JD-BB</x:v>
      </x:c>
      <x:c r="L10" s="126" t="str">
        <x:f>IF(D10&lt;=DATE(2026,8,4),"REVISAR YA",IF(D10&lt;=DATE(2026,9,3),"PRÓXIMA","PROGRAMADA"))</x:f>
        <x:v>PRÓXIMA</x:v>
      </x:c>
    </x:row>
    <x:row r="11" ht="118.80000305175781" hidden="0" customHeight="1">
      <x:c r="A11" s="58" t="str">
        <x:v>PayPal</x:v>
      </x:c>
      <x:c r="B11" s="58" t="str">
        <x:v>PYPL</x:v>
      </x:c>
      <x:c r="C11" s="59" t="n">
        <x:v>46238</x:v>
      </x:c>
      <x:c r="D11" s="59" t="n">
        <x:v>46331</x:v>
      </x:c>
      <x:c r="E11" s="58" t="str">
        <x:v>Madura / recuperable</x:v>
      </x:c>
      <x:c r="F11" s="58" t="str">
        <x:v>TPV, branded checkout, cuentas activas, margen, FCF y recompras</x:v>
      </x:c>
      <x:c r="G11" s="58" t="str">
        <x:v>PER 11.03x; FCF 1,700m en Q1; TPV +11%; checkout +2%</x:v>
      </x:c>
      <x:c r="H11" s="58" t="str">
        <x:v>Branded checkout y cuentas activas deben acelerar sin sacrificar margen</x:v>
      </x:c>
      <x:c r="I11" s="58" t="str">
        <x:v>Checkout sigue plano, cuentas activas caen o FCF no sostiene recompras</x:v>
      </x:c>
      <x:c r="J11" s="58" t="str">
        <x:v>Leer 3T26; actualizar tesis de recuperación y margen de seguridad</x:v>
      </x:c>
      <x:c r="K11" s="58" t="str">
        <x:v>PYPL-Q1-26</x:v>
      </x:c>
      <x:c r="L11" s="126" t="str">
        <x:f>IF(D11&lt;=DATE(2026,8,4),"REVISAR YA",IF(D11&lt;=DATE(2026,9,3),"PRÓXIMA","PROGRAMADA"))</x:f>
        <x:v>PROGRAMADA</x:v>
      </x:c>
    </x:row>
    <x:row r="12" ht="145.1999969482422" hidden="0" customHeight="1">
      <x:c r="A12" s="58" t="str">
        <x:v>Wise</x:v>
      </x:c>
      <x:c r="B12" s="58" t="str">
        <x:v>WISE</x:v>
      </x:c>
      <x:c r="C12" s="59" t="n">
        <x:v>46238</x:v>
      </x:c>
      <x:c r="D12" s="59" t="n">
        <x:v>46310</x:v>
      </x:c>
      <x:c r="E12" s="58" t="str">
        <x:v>Alto crecimiento / calidad</x:v>
      </x:c>
      <x:c r="F12" s="58" t="str">
        <x:v>Clientes, volumen, holdings, take rate, margen antes de impuestos y caja utilizable</x:v>
      </x:c>
      <x:c r="G12" s="58" t="str">
        <x:v>PER 24.38x; FY26 net revenue +19%; Q1 FY27 +25%; take rate 50bps</x:v>
      </x:c>
      <x:c r="H12" s="58" t="str">
        <x:v>Mantener crecimiento 15–20% y margen cercano al 20–25% mientras baja el take rate</x:v>
      </x:c>
      <x:c r="I12" s="58" t="str">
        <x:v>Crecimiento cae claramente, take rate baja sin escala o valoración exige más de lo que entrega</x:v>
      </x:c>
      <x:c r="J12" s="58" t="str">
        <x:v>Confirmar calendario; comparar Q2 FY27 contra Q1 y FY26</x:v>
      </x:c>
      <x:c r="K12" s="58" t="str">
        <x:v>WISE-Q1-27 / WISE-CAL</x:v>
      </x:c>
      <x:c r="L12" s="126" t="str">
        <x:f>IF(D12&lt;=DATE(2026,8,4),"REVISAR YA",IF(D12&lt;=DATE(2026,9,3),"PRÓXIMA","PROGRAMADA"))</x:f>
        <x:v>PROGRAMADA</x:v>
      </x:c>
    </x:row>
    <x:row r="13" ht="145.1999969482422" hidden="0" customHeight="1">
      <x:c r="A13" s="58" t="str">
        <x:v>Auto Trader</x:v>
      </x:c>
      <x:c r="B13" s="58" t="str">
        <x:v>AUTO</x:v>
      </x:c>
      <x:c r="C13" s="59" t="n">
        <x:v>46238</x:v>
      </x:c>
      <x:c r="D13" s="59" t="n">
        <x:v>46331</x:v>
      </x:c>
      <x:c r="E13" s="58" t="str">
        <x:v>Madura / crecimiento</x:v>
      </x:c>
      <x:c r="F13" s="58" t="str">
        <x:v>Forecourts, stock pagado, ARPR, margen, Deal Builder, FCF y deuda</x:v>
      </x:c>
      <x:c r="G13" s="58" t="str">
        <x:v>PER 15.58x; margen operativo 63%; ARPR +5%; deuda neta 146.8m</x:v>
      </x:c>
      <x:c r="H13" s="58" t="str">
        <x:v>Concesionarios vuelven a aceptar Deal Builder y ARPR/margen siguen creciendo</x:v>
      </x:c>
      <x:c r="I13" s="58" t="str">
        <x:v>Stock pagado cae, concesionarios abandonan la plataforma o deuda sube sin retorno</x:v>
      </x:c>
      <x:c r="J13" s="58" t="str">
        <x:v>Leer interinos; actualizar crecimiento, FCF y valoración</x:v>
      </x:c>
      <x:c r="K13" s="58" t="str">
        <x:v>AUTO-FY26 / AUTO-CAL</x:v>
      </x:c>
      <x:c r="L13" s="126" t="str">
        <x:f>IF(D13&lt;=DATE(2026,8,4),"REVISAR YA",IF(D13&lt;=DATE(2026,9,3),"PRÓXIMA","PROGRAMADA"))</x:f>
        <x:v>PROGRAMADA</x:v>
      </x:c>
    </x:row>
    <x:row r="14" ht="158.39999389648438" hidden="0" customHeight="1">
      <x:c r="A14" s="58" t="str">
        <x:v>B&amp;M European Value Retail</x:v>
      </x:c>
      <x:c r="B14" s="58" t="str">
        <x:v>BME</x:v>
      </x:c>
      <x:c r="C14" s="59" t="n">
        <x:v>46238</x:v>
      </x:c>
      <x:c r="D14" s="59" t="n">
        <x:v>46338</x:v>
      </x:c>
      <x:c r="E14" s="58" t="str">
        <x:v>Recuperable / cíclica</x:v>
      </x:c>
      <x:c r="F14" s="58" t="str">
        <x:v>LFL UK, margen EBITDA, Francia, inventarios, FCF, deuda y dividendo</x:v>
      </x:c>
      <x:c r="G14" s="58" t="str">
        <x:v>PER calculado 13.85x; FCF 321m; deuda neta 656m; UK LFL -2.3%</x:v>
      </x:c>
      <x:c r="H14" s="58" t="str">
        <x:v>LFL UK pasa a positivo y el margen se recupera hacia doble dígito a medio plazo</x:v>
      </x:c>
      <x:c r="I14" s="58" t="str">
        <x:v>LFL sigue negativo, margen no recupera o deuda/dividendo dejan de ser sostenibles</x:v>
      </x:c>
      <x:c r="J14" s="58" t="str">
        <x:v>Confirmar fecha; comparar H1 y decidir si el turnaround sigue vivo</x:v>
      </x:c>
      <x:c r="K14" s="58" t="str">
        <x:v>BME-Q1-27 / BME-CAL</x:v>
      </x:c>
      <x:c r="L14" s="126" t="str">
        <x:f>IF(D14&lt;=DATE(2026,8,4),"REVISAR YA",IF(D14&lt;=DATE(2026,9,3),"PRÓXIMA","PROGRAMADA"))</x:f>
        <x:v>PROGRAMADA</x:v>
      </x:c>
    </x:row>
    <x:row r="15" ht="118.80000305175781" hidden="0" customHeight="1">
      <x:c r="A15" s="58" t="str">
        <x:v>Kainos Group</x:v>
      </x:c>
      <x:c r="B15" s="58" t="str">
        <x:v>KNOS</x:v>
      </x:c>
      <x:c r="C15" s="59" t="n">
        <x:v>46238</x:v>
      </x:c>
      <x:c r="D15" s="59" t="n">
        <x:v>46272</x:v>
      </x:c>
      <x:c r="E15" s="58" t="str">
        <x:v>Crecimiento / nicho</x:v>
      </x:c>
      <x:c r="F15" s="58" t="str">
        <x:v>ARR Workday, bookings, backlog, margen, contratistas y caja</x:v>
      </x:c>
      <x:c r="G15" s="58" t="str">
        <x:v>PER calculado 23.10x; ARR +23%; backlog +18%; caja neta 89.1m</x:v>
      </x:c>
      <x:c r="H15" s="58" t="str">
        <x:v>ARR hacia 100m y backlog convierten crecimiento en margen/caja</x:v>
      </x:c>
      <x:c r="I15" s="58" t="str">
        <x:v>Margen cae, backlog no convierte o caja se consume sin retorno</x:v>
      </x:c>
      <x:c r="J15" s="58" t="str">
        <x:v>Leer trading update; actualizar PER y conversión de backlog</x:v>
      </x:c>
      <x:c r="K15" s="58" t="str">
        <x:v>KNOS-FY26 / KNOS-CAL</x:v>
      </x:c>
      <x:c r="L15" s="126" t="str">
        <x:f>IF(D15&lt;=DATE(2026,8,4),"REVISAR YA",IF(D15&lt;=DATE(2026,9,3),"PRÓXIMA","PROGRAMADA"))</x:f>
        <x:v>PROGRAMADA</x:v>
      </x:c>
    </x:row>
    <x:row r="16" ht="132" hidden="0" customHeight="1">
      <x:c r="A16" s="58" t="str">
        <x:v>Plus500</x:v>
      </x:c>
      <x:c r="B16" s="58" t="str">
        <x:v>PLUS</x:v>
      </x:c>
      <x:c r="C16" s="59" t="n">
        <x:v>46238</x:v>
      </x:c>
      <x:c r="D16" s="59" t="n">
        <x:v>46244</x:v>
      </x:c>
      <x:c r="E16" s="58" t="str">
        <x:v>Madura / cíclica</x:v>
      </x:c>
      <x:c r="F16" s="58" t="str">
        <x:v>Customer Income, EBITDA, margen, clientes, new customers, caja y regulación</x:v>
      </x:c>
      <x:c r="G16" s="58" t="str">
        <x:v>PER 12.84x; H1 revenue +12%; EBITDA +1%; caja &gt;850m</x:v>
      </x:c>
      <x:c r="H16" s="58" t="str">
        <x:v>Customer Income y clientes crecen; margen no se comprime al escalar negocios no-OTC</x:v>
      </x:c>
      <x:c r="I16" s="58" t="str">
        <x:v>Resultado débil, caída de clientes, regulación adversa o margen sigue cayendo</x:v>
      </x:c>
      <x:c r="J16" s="58" t="str">
        <x:v>Leer H1; revisar dividendo/recompra y si el precio ya descuenta la mejora</x:v>
      </x:c>
      <x:c r="K16" s="58" t="str">
        <x:v>PLUS-H1-26 / PLUS-CAL</x:v>
      </x:c>
      <x:c r="L16" s="126" t="str">
        <x:f>IF(D16&lt;=DATE(2026,8,4),"REVISAR YA",IF(D16&lt;=DATE(2026,9,3),"PRÓXIMA","PROGRAMADA"))</x:f>
        <x:v>PRÓXIMA</x:v>
      </x:c>
    </x:row>
    <x:row r="17" ht="145.1999969482422" hidden="0" customHeight="1">
      <x:c r="A17" s="58" t="str">
        <x:v>Rightmove</x:v>
      </x:c>
      <x:c r="B17" s="58" t="str">
        <x:v>RMV</x:v>
      </x:c>
      <x:c r="C17" s="59" t="n">
        <x:v>46238</x:v>
      </x:c>
      <x:c r="D17" s="59" t="n">
        <x:v>46265</x:v>
      </x:c>
      <x:c r="E17" s="58" t="str">
        <x:v>Calidad / marketplace</x:v>
      </x:c>
      <x:c r="F17" s="58" t="str">
        <x:v>Ingresos, EPS, ARPA, miembros, áreas nuevas, LLM referrals, margen y caja</x:v>
      </x:c>
      <x:c r="G17" s="58" t="str">
        <x:v>PER 16.90x; FY25 EPS 28.10p; consenso FY26 EPS 30.02p</x:v>
      </x:c>
      <x:c r="H17" s="58" t="str">
        <x:v>Guía 2026 de ingresos +8–10% y crecimiento de comercial, hipotecas y alquileres</x:v>
      </x:c>
      <x:c r="I17" s="58" t="str">
        <x:v>Menor crecimiento, membresía negativa, litigio/regulación o gasto que erosione el margen</x:v>
      </x:c>
      <x:c r="J17" s="58" t="str">
        <x:v>Leer H1; actualizar el caso base y el precio de entrada de Analisis_Prioritario</x:v>
      </x:c>
      <x:c r="K17" s="58" t="str">
        <x:v>RMV-FY25 / RMV-CONS</x:v>
      </x:c>
      <x:c r="L17" s="126" t="str">
        <x:f>IF(D17&lt;=DATE(2026,8,4),"REVISAR YA",IF(D17&lt;=DATE(2026,9,3),"PRÓXIMA","PROGRAMADA"))</x:f>
        <x:v>PRÓXIMA</x:v>
      </x:c>
    </x:row>
    <x:row r="18" ht="145.1999969482422" hidden="0" customHeight="1">
      <x:c r="A18" s="58" t="str">
        <x:v>Games Workshop</x:v>
      </x:c>
      <x:c r="B18" s="58" t="str">
        <x:v>GAW</x:v>
      </x:c>
      <x:c r="C18" s="59" t="n">
        <x:v>46238</x:v>
      </x:c>
      <x:c r="D18" s="59" t="n">
        <x:v>46331</x:v>
      </x:c>
      <x:c r="E18" s="58" t="str">
        <x:v>Calidad / IP y nicho</x:v>
      </x:c>
      <x:c r="F18" s="58" t="str">
        <x:v>Core revenue, licencias, margen, royalties, caja y dividendos</x:v>
      </x:c>
      <x:c r="G18" s="58" t="str">
        <x:v>PER 33.52x; FY26 ingresos +6.8%; EPS 624p; sin deuda</x:v>
      </x:c>
      <x:c r="H18" s="58" t="str">
        <x:v>Warhammer/IP sigue creciendo y la caja se transforma en dividendos sin deuda</x:v>
      </x:c>
      <x:c r="I18" s="58" t="str">
        <x:v>Crecimiento core se normaliza, licencias caen o el PER exige más de lo que entrega</x:v>
      </x:c>
      <x:c r="J18" s="58" t="str">
        <x:v>Revisar trading; recalcular precio razonable con crecimiento normalizado</x:v>
      </x:c>
      <x:c r="K18" s="58" t="str">
        <x:v>GAW-FY26 / GAW-CAL</x:v>
      </x:c>
      <x:c r="L18" s="126" t="str">
        <x:f>IF(D18&lt;=DATE(2026,8,4),"REVISAR YA",IF(D18&lt;=DATE(2026,9,3),"PRÓXIMA","PROGRAMADA"))</x:f>
        <x:v>PROGRAMADA</x:v>
      </x:c>
    </x:row>
    <x:row r="19" ht="158.39999389648438" hidden="0" customHeight="1">
      <x:c r="A19" s="58" t="str">
        <x:v>Computacenter</x:v>
      </x:c>
      <x:c r="B19" s="58" t="str">
        <x:v>CCC</x:v>
      </x:c>
      <x:c r="C19" s="59" t="n">
        <x:v>46238</x:v>
      </x:c>
      <x:c r="D19" s="59" t="n">
        <x:v>46273</x:v>
      </x:c>
      <x:c r="E19" s="58" t="str">
        <x:v>Crecimiento / servicios IT</x:v>
      </x:c>
      <x:c r="F19" s="58" t="str">
        <x:v>Technology Sourcing, Managed Services, margen bruto, consenso y caja</x:v>
      </x:c>
      <x:c r="G19" s="58" t="str">
        <x:v>PER 32.89x; FY25 ingresos +32%; net funds 606m</x:v>
      </x:c>
      <x:c r="H19" s="58" t="str">
        <x:v>Q1 fuerte debe convertirse en beneficio y mantener el consenso FY26</x:v>
      </x:c>
      <x:c r="I19" s="58" t="str">
        <x:v>Margen sigue cayendo, Managed Services no recupera o se paga demasiado por el crecimiento</x:v>
      </x:c>
      <x:c r="J19" s="58" t="str">
        <x:v>Leer H1; comparar adjusted PBT contra consenso y actualizar valoración</x:v>
      </x:c>
      <x:c r="K19" s="58" t="str">
        <x:v>CCC-Q1-26</x:v>
      </x:c>
      <x:c r="L19" s="126" t="str">
        <x:f>IF(D19&lt;=DATE(2026,8,4),"REVISAR YA",IF(D19&lt;=DATE(2026,9,3),"PRÓXIMA","PROGRAMADA"))</x:f>
        <x:v>PROGRAMADA</x:v>
      </x:c>
    </x:row>
    <x:row r="20" ht="145.1999969482422" hidden="0" customHeight="1">
      <x:c r="A20" s="58" t="str">
        <x:v>Howdens Joinery</x:v>
      </x:c>
      <x:c r="B20" s="58" t="str">
        <x:v>HWDN</x:v>
      </x:c>
      <x:c r="C20" s="59" t="n">
        <x:v>46238</x:v>
      </x:c>
      <x:c r="D20" s="59" t="n">
        <x:v>46331</x:v>
      </x:c>
      <x:c r="E20" s="58" t="str">
        <x:v>Calidad / cíclica</x:v>
      </x:c>
      <x:c r="F20" s="58" t="str">
        <x:v>Ventas comparables, margen bruto, aperturas, vivienda, DIY Kitchens y caja</x:v>
      </x:c>
      <x:c r="G20" s="58" t="str">
        <x:v>PER 16.70x; H1 ventas +3.3%; EBIT subyacente +5.5%; caja 332.8m</x:v>
      </x:c>
      <x:c r="H20" s="58" t="str">
        <x:v>Mantener margen y convertir recuperación de vivienda en crecimiento rentable</x:v>
      </x:c>
      <x:c r="I20" s="58" t="str">
        <x:v>LFL negativo, margen cae, adquisición sin retorno o caja no cubre capex/inventario</x:v>
      </x:c>
      <x:c r="J20" s="58" t="str">
        <x:v>Leer trading update; actualizar EPS normalizado y precio de entrada</x:v>
      </x:c>
      <x:c r="K20" s="58" t="str">
        <x:v>HWDN-H1-26 / HWDN-CAL</x:v>
      </x:c>
      <x:c r="L20" s="126" t="str">
        <x:f>IF(D20&lt;=DATE(2026,8,4),"REVISAR YA",IF(D20&lt;=DATE(2026,9,3),"PRÓXIMA","PROGRAMADA"))</x:f>
        <x:v>PROGRAMADA</x:v>
      </x:c>
    </x:row>
    <x:row r="21" ht="145.1999969482422" hidden="0" customHeight="1">
      <x:c r="A21" s="58" t="str">
        <x:v>Domino's Pizza Group</x:v>
      </x:c>
      <x:c r="B21" s="58" t="str">
        <x:v>DOM</x:v>
      </x:c>
      <x:c r="C21" s="59" t="n">
        <x:v>46238</x:v>
      </x:c>
      <x:c r="D21" s="59" t="n">
        <x:v>46239</x:v>
      </x:c>
      <x:c r="E21" s="58" t="str">
        <x:v>Madura / recuperable</x:v>
      </x:c>
      <x:c r="F21" s="58" t="str">
        <x:v>System sales, EBITDA, PBT, franquiciados, promociones y caja</x:v>
      </x:c>
      <x:c r="G21" s="58" t="str">
        <x:v>PER 13.35x; yield 5.5%; FY25 EBITDA -6.6%; primeras 9 semanas positivas</x:v>
      </x:c>
      <x:c r="H21" s="58" t="str">
        <x:v>H1 debe confirmar momentum, disciplina promocional y estabilización de beneficios</x:v>
      </x:c>
      <x:c r="I21" s="58" t="str">
        <x:v>EBITDA/PBT siguen cayendo, franquiciados pierden atractivo o activismo fuerza mala asignación</x:v>
      </x:c>
      <x:c r="J21" s="58" t="str">
        <x:v>Leer resultados del 04-ago; actualizar tesis al día siguiente</x:v>
      </x:c>
      <x:c r="K21" s="58" t="str">
        <x:v>DOM-FY25 / DOM-CAL</x:v>
      </x:c>
      <x:c r="L21" s="126" t="str">
        <x:f>IF(D21&lt;=DATE(2026,8,4),"REVISAR YA",IF(D21&lt;=DATE(2026,9,3),"PRÓXIMA","PROGRAMADA"))</x:f>
        <x:v>PRÓXIMA</x:v>
      </x:c>
    </x:row>
    <x:row r="22" ht="158.39999389648438" hidden="0" customHeight="1">
      <x:c r="A22" s="58" t="str">
        <x:v>Bellway</x:v>
      </x:c>
      <x:c r="B22" s="58" t="str">
        <x:v>BWY</x:v>
      </x:c>
      <x:c r="C22" s="59" t="n">
        <x:v>46238</x:v>
      </x:c>
      <x:c r="D22" s="59" t="n">
        <x:v>46245</x:v>
      </x:c>
      <x:c r="E22" s="58" t="str">
        <x:v>Existente / cíclica</x:v>
      </x:c>
      <x:c r="F22" s="58" t="str">
        <x:v>Reservas, cancelaciones, orderbook, margen, deuda y demanda hipotecaria</x:v>
      </x:c>
      <x:c r="G22" s="58" t="str">
        <x:v>PER 14.73x; beneficio FY26 guiado 320–330m; orderbook 1.57bn</x:v>
      </x:c>
      <x:c r="H22" s="58" t="str">
        <x:v>Demanda y margen deben sostener guía sin aumentar deuda</x:v>
      </x:c>
      <x:c r="I22" s="58" t="str">
        <x:v>Tipos/demanda empeoran, cancelaciones suben o el orderbook no convierte en entregas</x:v>
      </x:c>
      <x:c r="J22" s="58" t="str">
        <x:v>Leer trading update; revisar si el descuento cíclico ofrece margen de seguridad</x:v>
      </x:c>
      <x:c r="K22" s="58" t="str">
        <x:v>BWY-TRD / BWY-CAL</x:v>
      </x:c>
      <x:c r="L22" s="126" t="str">
        <x:f>IF(D22&lt;=DATE(2026,8,4),"REVISAR YA",IF(D22&lt;=DATE(2026,9,3),"PRÓXIMA","PROGRAMADA"))</x:f>
        <x:v>PRÓXIMA</x:v>
      </x:c>
    </x:row>
    <x:row r="23" ht="132" hidden="0" customHeight="1">
      <x:c r="A23" s="58" t="str">
        <x:v>Babcock International</x:v>
      </x:c>
      <x:c r="B23" s="58" t="str">
        <x:v>BAB</x:v>
      </x:c>
      <x:c r="C23" s="59" t="n">
        <x:v>46238</x:v>
      </x:c>
      <x:c r="D23" s="59" t="n">
        <x:v>46346</x:v>
      </x:c>
      <x:c r="E23" s="58" t="str">
        <x:v>Defensa / turnaround</x:v>
      </x:c>
      <x:c r="F23" s="58" t="str">
        <x:v>FCF, backlog, margen, Type 31, ejecución contractual y recompra</x:v>
      </x:c>
      <x:c r="G23" s="58" t="str">
        <x:v>PER subyacente 18.53x; FCF 262m; backlog 9.8bn; caja neta 23m</x:v>
      </x:c>
      <x:c r="H23" s="58" t="str">
        <x:v>El backlog debe convertirse en caja y el cargo Type 31 quedar aislado</x:v>
      </x:c>
      <x:c r="I23" s="58" t="str">
        <x:v>Nuevo sobrecoste, FCF débil, deuda sube o se deteriora la calidad contractual</x:v>
      </x:c>
      <x:c r="J23" s="58" t="str">
        <x:v>Confirmar fecha H1; comparar FCF y margen contra FY26</x:v>
      </x:c>
      <x:c r="K23" s="58" t="str">
        <x:v>BAB-FY26 / BAB-CAL</x:v>
      </x:c>
      <x:c r="L23" s="126" t="str">
        <x:f>IF(D23&lt;=DATE(2026,8,4),"REVISAR YA",IF(D23&lt;=DATE(2026,9,3),"PRÓXIMA","PROGRAMADA"))</x:f>
        <x:v>PROGRAMADA</x:v>
      </x:c>
    </x:row>
    <x:row r="24" ht="132" hidden="0" customHeight="1">
      <x:c r="A24" s="58" t="str">
        <x:v>Oxford Instruments</x:v>
      </x:c>
      <x:c r="B24" s="58" t="str">
        <x:v>OXIG</x:v>
      </x:c>
      <x:c r="C24" s="59" t="n">
        <x:v>46238</x:v>
      </x:c>
      <x:c r="D24" s="59" t="n">
        <x:v>46338</x:v>
      </x:c>
      <x:c r="E24" s="58" t="str">
        <x:v>Nicho / tecnología</x:v>
      </x:c>
      <x:c r="F24" s="58" t="str">
        <x:v>Order intake, book-to-bill, ventas, margen ajustado, semiconductores y caja</x:v>
      </x:c>
      <x:c r="G24" s="58" t="str">
        <x:v>PER 33.81x; ingresos FY26 -4.6%; order intake +6.4%; caja 94m</x:v>
      </x:c>
      <x:c r="H24" s="58" t="str">
        <x:v>Los pedidos deben convertirse en ingresos y recuperar margen sin nueva dilución</x:v>
      </x:c>
      <x:c r="I24" s="58" t="str">
        <x:v>Book-to-bill cae, ingresos no recuperan o el múltiplo no deja margen</x:v>
      </x:c>
      <x:c r="J24" s="58" t="str">
        <x:v>Leer interinos; actualizar conversión de pedidos y precio razonable</x:v>
      </x:c>
      <x:c r="K24" s="58" t="str">
        <x:v>OXIG-FY26 / OXIG-CAL</x:v>
      </x:c>
      <x:c r="L24" s="126" t="str">
        <x:f>IF(D24&lt;=DATE(2026,8,4),"REVISAR YA",IF(D24&lt;=DATE(2026,9,3),"PRÓXIMA","PROGRAMADA"))</x:f>
        <x:v>PROGRAMADA</x:v>
      </x:c>
    </x:row>
    <x:row r="25" ht="132" hidden="0" customHeight="1">
      <x:c r="A25" s="58" t="str">
        <x:v>4imprint Group</x:v>
      </x:c>
      <x:c r="B25" s="58" t="str">
        <x:v>FOUR</x:v>
      </x:c>
      <x:c r="C25" s="59" t="n">
        <x:v>46238</x:v>
      </x:c>
      <x:c r="D25" s="59" t="n">
        <x:v>46239</x:v>
      </x:c>
      <x:c r="E25" s="58" t="str">
        <x:v>Madura / calidad con descuento</x:v>
      </x:c>
      <x:c r="F25" s="58" t="str">
        <x:v>Pedidos nuevos/existentes, AOV, margen, aranceles, caja y guía</x:v>
      </x:c>
      <x:c r="G25" s="58" t="str">
        <x:v>PER 14.62x; yield 4.2%; pedidos FY25 -3%; caja 132.8m USD</x:v>
      </x:c>
      <x:c r="H25" s="58" t="str">
        <x:v>H1 debe distinguir bache temporal de pérdida estructural de clientes nuevos</x:v>
      </x:c>
      <x:c r="I25" s="58" t="str">
        <x:v>Pedidos y margen siguen bajando, aranceles erosionan beneficio o caja se consume</x:v>
      </x:c>
      <x:c r="J25" s="58" t="str">
        <x:v>Leer H1; recalcular beneficio normalizado y sensibilidad a pedidos</x:v>
      </x:c>
      <x:c r="K25" s="58" t="str">
        <x:v>FOUR-FY25 / FOUR-CAL</x:v>
      </x:c>
      <x:c r="L25" s="126" t="str">
        <x:f>IF(D25&lt;=DATE(2026,8,4),"REVISAR YA",IF(D25&lt;=DATE(2026,9,3),"PRÓXIMA","PROGRAMADA"))</x:f>
        <x:v>PRÓXIMA</x:v>
      </x:c>
    </x:row>
    <x:row r="26" ht="118.80000305175781" hidden="0" customHeight="1">
      <x:c r="A26" s="58" t="str">
        <x:v>Jet2</x:v>
      </x:c>
      <x:c r="B26" s="58" t="str">
        <x:v>JET2</x:v>
      </x:c>
      <x:c r="C26" s="59" t="n">
        <x:v>46238</x:v>
      </x:c>
      <x:c r="D26" s="59" t="n">
        <x:v>46343</x:v>
      </x:c>
      <x:c r="E26" s="58" t="str">
        <x:v>Cíclica / crecimiento</x:v>
      </x:c>
      <x:c r="F26" s="58" t="str">
        <x:v>Ocupación, yield, combustible, capacidad, Gatwick, caja y recompra</x:v>
      </x:c>
      <x:c r="G26" s="58" t="str">
        <x:v>PER 7.29x; caja neta 2,012.9m; pasajeros +5%; capacidad verano +7.7%</x:v>
      </x:c>
      <x:c r="H26" s="58" t="str">
        <x:v>Crecimiento de capacidad y Gatwick deben mantener ROCE sin destruir caja</x:v>
      </x:c>
      <x:c r="I26" s="58" t="str">
        <x:v>Combustible/geopolítica, demanda débil, margen cae o la caja se usa mal</x:v>
      </x:c>
      <x:c r="J26" s="58" t="str">
        <x:v>Revisar tras verano; actualizar PER con resultados H1 y reservas</x:v>
      </x:c>
      <x:c r="K26" s="58" t="str">
        <x:v>JET2-FY26 / JET2-CAL</x:v>
      </x:c>
      <x:c r="L26" s="126" t="str">
        <x:f>IF(D26&lt;=DATE(2026,8,4),"REVISAR YA",IF(D26&lt;=DATE(2026,9,3),"PRÓXIMA","PROGRAMADA"))</x:f>
        <x:v>PROGRAMADA</x:v>
      </x:c>
    </x:row>
    <x:row r="27" ht="15" hidden="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 ht="15" hidden="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 ht="15" hidden="0" customHeight="1">
      <x:c r="A29" s="36" t="str">
        <x:v>Protocolo de revisión</x:v>
      </x:c>
      <x:c r="B29" s="36" t="str">
        <x:v>Protocolo de revisión</x:v>
      </x:c>
      <x:c r="C29" s="36" t="str">
        <x:v>Protocolo de revisión</x:v>
      </x:c>
      <x:c r="D29" s="36" t="str">
        <x:v>Protocolo de revisión</x:v>
      </x:c>
      <x:c r="E29" s="36" t="str">
        <x:v>Protocolo de revisión</x:v>
      </x:c>
      <x:c r="F29" s="36" t="str">
        <x:v>Protocolo de revisión</x:v>
      </x:c>
      <x:c r="G29" s="36" t="str">
        <x:v>Protocolo de revisión</x:v>
      </x:c>
      <x:c r="H29" s="36" t="str">
        <x:v>Protocolo de revisión</x:v>
      </x:c>
      <x:c r="I29" s="36" t="str">
        <x:v>Protocolo de revisión</x:v>
      </x:c>
      <x:c r="J29" s="36" t="str">
        <x:v>Protocolo de revisión</x:v>
      </x:c>
      <x:c r="K29" s="36" t="str">
        <x:v>Protocolo de revisión</x:v>
      </x:c>
      <x:c r="L29" s="36" t="str">
        <x:v>Protocolo de revisión</x:v>
      </x:c>
    </x:row>
    <x:row r="30" ht="15" hidden="0" customHeight="1">
      <x:c r="A30" s="105" t="str">
        <x:v>1</x:v>
      </x:c>
      <x:c r="B30" s="33" t="str">
        <x:v>Cuando llegue la fecha, consulta primero el comunicado oficial y la presentación de resultados.</x:v>
      </x:c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 ht="15" hidden="0" customHeight="1">
      <x:c r="A31" s="105" t="str">
        <x:v>2</x:v>
      </x:c>
      <x:c r="B31" s="33" t="str">
        <x:v>Copia una nueva fila en Historial: no sobreescribas el periodo anterior.</x:v>
      </x:c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 ht="15" hidden="0" customHeight="1">
      <x:c r="A32" s="105" t="str">
        <x:v>3</x:v>
      </x:c>
      <x:c r="B32" s="33" t="str">
        <x:v>Actualiza precio, PER, EPS, ventas, crecimiento, FCF, deuda/caja y el dato operativo clave.</x:v>
      </x:c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 ht="15" hidden="0" customHeight="1">
      <x:c r="A33" s="105" t="str">
        <x:v>4</x:v>
      </x:c>
      <x:c r="B33" s="33" t="str">
        <x:v>Compara el dato nuevo con Qué debe mejorar y Condición de invalidación.</x:v>
      </x:c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 ht="15" hidden="0" customHeight="1">
      <x:c r="A34" s="105" t="str">
        <x:v>5</x:v>
      </x:c>
      <x:c r="B34" s="33" t="str">
        <x:v>Solo después cambia el veredicto/prioridad y deja constancia de la fuente y fecha.</x:v>
      </x:c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</x:sheetData>
  <x:mergeCells>
    <x:mergeCell ref="A1:L1"/>
    <x:mergeCell ref="A2:L2"/>
    <x:mergeCell ref="A29:L29"/>
    <x:mergeCell ref="B30:L30"/>
    <x:mergeCell ref="B31:L31"/>
    <x:mergeCell ref="B32:L32"/>
    <x:mergeCell ref="B33:L33"/>
    <x:mergeCell ref="B34:L34"/>
  </x:mergeCells>
  <x:conditionalFormatting sqref="A5:L26">
    <x:cfRule type="containsText" dxfId="10" priority="1" operator="containsText" text="REVISAR YA"/>
    <x:cfRule type="containsText" dxfId="11" priority="2" operator="containsText" text="PRÓXIMA"/>
    <x:cfRule type="containsText" dxfId="12" priority="3" operator="containsText" text="PROGRAMADA"/>
  </x:conditionalFormatting>
  <x:pageMargins left="0.7" right="0.7" top="0.75" bottom="0.75" header="0.3" footer="0.3"/>
  <x:tableParts count="1">
    <x:tablePart xmlns:r="http://schemas.openxmlformats.org/officeDocument/2006/relationships" r:id="R505e10085b0043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12" hidden="0" customWidth="1"/>
    <x:col min="4" max="4" width="11" hidden="0" customWidth="1"/>
    <x:col min="5" max="5" width="10" hidden="0" customWidth="1"/>
    <x:col min="6" max="6" width="12" hidden="0" customWidth="1"/>
    <x:col min="7" max="7" width="14" hidden="0" customWidth="1"/>
    <x:col min="8" max="8" width="12" hidden="0" customWidth="1"/>
    <x:col min="9" max="9" width="13" hidden="0" customWidth="1"/>
    <x:col min="10" max="10" width="66" hidden="0" customWidth="1"/>
  </x:cols>
  <x:sheetData>
    <x:row r="1" ht="19.200000762939453" hidden="0" customHeight="1">
      <x:c r="A1" s="34" t="str">
        <x:v>Ideas cribadas pero no seleccionadas</x:v>
      </x:c>
      <x:c r="B1" s="34" t="str">
        <x:v>Ideas cribadas pero no seleccionadas</x:v>
      </x:c>
      <x:c r="C1" s="34" t="str">
        <x:v>Ideas cribadas pero no seleccionadas</x:v>
      </x:c>
      <x:c r="D1" s="34" t="str">
        <x:v>Ideas cribadas pero no seleccionadas</x:v>
      </x:c>
      <x:c r="E1" s="34" t="str">
        <x:v>Ideas cribadas pero no seleccionadas</x:v>
      </x:c>
      <x:c r="F1" s="34" t="str">
        <x:v>Ideas cribadas pero no seleccionadas</x:v>
      </x:c>
      <x:c r="G1" s="34" t="str">
        <x:v>Ideas cribadas pero no seleccionadas</x:v>
      </x:c>
      <x:c r="H1" s="34" t="str">
        <x:v>Ideas cribadas pero no seleccionadas</x:v>
      </x:c>
      <x:c r="I1" s="34" t="str">
        <x:v>Ideas cribadas pero no seleccionadas</x:v>
      </x:c>
      <x:c r="J1" s="34" t="str">
        <x:v>Ideas cribadas pero no seleccionadas</x:v>
      </x:c>
    </x:row>
    <x:row r="2" ht="24" hidden="0" customHeight="1">
      <x:c r="A2" s="8" t="str">
        <x:v>No significa que sean malas empresas: indica que hoy no superan el filtro de precio, riesgo o evidencia para nuestra lista inicial.</x:v>
      </x:c>
      <x:c r="B2" s="8" t="str">
        <x:v>No significa que sean malas empresas: indica que hoy no superan el filtro de precio, riesgo o evidencia para nuestra lista inicial.</x:v>
      </x:c>
      <x:c r="C2" s="8" t="str">
        <x:v>No significa que sean malas empresas: indica que hoy no superan el filtro de precio, riesgo o evidencia para nuestra lista inicial.</x:v>
      </x:c>
      <x:c r="D2" s="8" t="str">
        <x:v>No significa que sean malas empresas: indica que hoy no superan el filtro de precio, riesgo o evidencia para nuestra lista inicial.</x:v>
      </x:c>
      <x:c r="E2" s="8" t="str">
        <x:v>No significa que sean malas empresas: indica que hoy no superan el filtro de precio, riesgo o evidencia para nuestra lista inicial.</x:v>
      </x:c>
      <x:c r="F2" s="8" t="str">
        <x:v>No significa que sean malas empresas: indica que hoy no superan el filtro de precio, riesgo o evidencia para nuestra lista inicial.</x:v>
      </x:c>
      <x:c r="G2" s="8" t="str">
        <x:v>No significa que sean malas empresas: indica que hoy no superan el filtro de precio, riesgo o evidencia para nuestra lista inicial.</x:v>
      </x:c>
      <x:c r="H2" s="8" t="str">
        <x:v>No significa que sean malas empresas: indica que hoy no superan el filtro de precio, riesgo o evidencia para nuestra lista inicial.</x:v>
      </x:c>
      <x:c r="I2" s="8" t="str">
        <x:v>No significa que sean malas empresas: indica que hoy no superan el filtro de precio, riesgo o evidencia para nuestra lista inicial.</x:v>
      </x:c>
      <x:c r="J2" s="8" t="str">
        <x:v>No significa que sean malas empresas: indica que hoy no superan el filtro de precio, riesgo o evidencia para nuestra lista inicial.</x:v>
      </x:c>
    </x:row>
    <x:row r="3" ht="15" hidden="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</x:row>
    <x:row r="4" ht="36" hidden="0" customHeight="1">
      <x:c r="A4" s="20" t="str">
        <x:v>Empresa</x:v>
      </x:c>
      <x:c r="B4" s="20" t="str">
        <x:v>Ticker</x:v>
      </x:c>
      <x:c r="C4" s="20" t="str">
        <x:v>Fecha salida</x:v>
      </x:c>
      <x:c r="D4" s="20" t="str">
        <x:v>Precio</x:v>
      </x:c>
      <x:c r="E4" s="20" t="str">
        <x:v>PER</x:v>
      </x:c>
      <x:c r="F4" s="20" t="str">
        <x:v>Rent. 1 año</x:v>
      </x:c>
      <x:c r="G4" s="20" t="str">
        <x:v>Ventas FY25 (m)</x:v>
      </x:c>
      <x:c r="H4" s="20" t="str">
        <x:v>Crec. ventas</x:v>
      </x:c>
      <x:c r="I4" s="20" t="str">
        <x:v>FCF FY25 (m)</x:v>
      </x:c>
      <x:c r="J4" s="20" t="str">
        <x:v>Motivo de no selección</x:v>
      </x:c>
    </x:row>
    <x:row r="5" ht="250.8000030517578" hidden="0" customHeight="1">
      <x:c r="A5" s="58" t="str">
        <x:v>Applied Nutrition</x:v>
      </x:c>
      <x:c r="B5" s="58" t="str">
        <x:v>APN</x:v>
      </x:c>
      <x:c r="C5" s="59" t="n">
        <x:v>45589</x:v>
      </x:c>
      <x:c r="D5" s="60" t="n">
        <x:v>329</x:v>
      </x:c>
      <x:c r="E5" s="62" t="n">
        <x:v>39.17</x:v>
      </x:c>
      <x:c r="F5" s="63" t="n">
        <x:v>1.4962</x:v>
      </x:c>
      <x:c r="G5" s="58" t="n">
        <x:v>107.1</x:v>
      </x:c>
      <x:c r="H5" s="63" t="n">
        <x:v>0.242</x:v>
      </x:c>
      <x:c r="I5" s="58" t="n">
        <x:v>16.5</x:v>
      </x:c>
      <x:c r="J5" s="58" t="str">
        <x:v>Crecimiento y caja interesantes, pero el precio ya descuenta mucho: +150% en un año, PER ~39x y sin dividendo. Volver a mirar si el crecimiento acelera o corrige la cotización.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54d7ef1fe5547e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62" hidden="0" customWidth="1"/>
  </x:cols>
  <x:sheetData>
    <x:row r="1" ht="19.200000762939453" hidden="0" customHeight="1">
      <x:c r="A1" s="34" t="str">
        <x:v>Checks del modelo</x:v>
      </x:c>
      <x:c r="B1" s="34" t="str">
        <x:v>Checks del modelo</x:v>
      </x:c>
      <x:c r="C1" s="34" t="str">
        <x:v>Checks del modelo</x:v>
      </x:c>
      <x:c r="D1" s="34" t="str">
        <x:v>Checks del modelo</x:v>
      </x:c>
    </x:row>
    <x:row r="2" ht="48" hidden="0" customHeight="1">
      <x:c r="A2" s="8" t="str">
        <x:v>Estas comprobaciones son visibles para detectar una watchlist incompleta. La búsqueda de errores de fórmula se ejecuta también al exportar.</x:v>
      </x:c>
      <x:c r="B2" s="8" t="str">
        <x:v>Estas comprobaciones son visibles para detectar una watchlist incompleta. La búsqueda de errores de fórmula se ejecuta también al exportar.</x:v>
      </x:c>
      <x:c r="C2" s="8" t="str">
        <x:v>Estas comprobaciones son visibles para detectar una watchlist incompleta. La búsqueda de errores de fórmula se ejecuta también al exportar.</x:v>
      </x:c>
      <x:c r="D2" s="8" t="str">
        <x:v>Estas comprobaciones son visibles para detectar una watchlist incompleta. La búsqueda de errores de fórmula se ejecuta también al exportar.</x:v>
      </x:c>
    </x:row>
    <x:row r="3" ht="15" hidden="0" customHeight="1">
      <x:c r="A3" s="33"/>
      <x:c r="B3" s="33"/>
      <x:c r="C3" s="33"/>
      <x:c r="D3" s="33"/>
    </x:row>
    <x:row r="4" ht="24" hidden="0" customHeight="1">
      <x:c r="A4" s="20" t="str">
        <x:v>Comprobación</x:v>
      </x:c>
      <x:c r="B4" s="20" t="str">
        <x:v>Valor</x:v>
      </x:c>
      <x:c r="C4" s="20" t="str">
        <x:v>Estado</x:v>
      </x:c>
      <x:c r="D4" s="20" t="str">
        <x:v>Qué significa</x:v>
      </x:c>
    </x:row>
    <x:row r="5" ht="79.19999694824219" hidden="0" customHeight="1">
      <x:c r="A5" s="35" t="str">
        <x:v>Filas de watchlist</x:v>
      </x:c>
      <x:c r="B5" s="28" t="n">
        <x:f>COUNTA('Watchlist'!A5:A26)</x:f>
        <x:v>22</x:v>
      </x:c>
      <x:c r="C5" s="126" t="str">
        <x:f>IF(B5=22,"OK","REVISAR")</x:f>
        <x:v>OK</x:v>
      </x:c>
      <x:c r="D5" s="33" t="str">
        <x:v>Debe haber 22 compañías seleccionadas.</x:v>
      </x:c>
    </x:row>
    <x:row r="6" ht="79.19999694824219" hidden="0" customHeight="1">
      <x:c r="A6" s="35" t="str">
        <x:v>Totales de checklist</x:v>
      </x:c>
      <x:c r="B6" s="28" t="n">
        <x:f>COUNT('Checklist_Lynch'!L5:L26)</x:f>
        <x:v>22</x:v>
      </x:c>
      <x:c r="C6" s="126" t="str">
        <x:f>IF(B6=22,"OK","REVISAR")</x:f>
        <x:v>OK</x:v>
      </x:c>
      <x:c r="D6" s="33" t="str">
        <x:v>Cada empresa debe tener un total calculado.</x:v>
      </x:c>
    </x:row>
    <x:row r="7" ht="79.19999694824219" hidden="0" customHeight="1">
      <x:c r="A7" s="35" t="str">
        <x:v>Fuentes de mercado y resultados</x:v>
      </x:c>
      <x:c r="B7" s="28" t="n">
        <x:f>COUNTIF('Watchlist'!Y5:Y26,"&lt;&gt;")+COUNTIF('Watchlist'!Z5:Z26,"&lt;&gt;")</x:f>
        <x:v>44</x:v>
      </x:c>
      <x:c r="C7" s="126" t="str">
        <x:f>IF(B7=44,"OK","REVISAR")</x:f>
        <x:v>OK</x:v>
      </x:c>
      <x:c r="D7" s="33" t="str">
        <x:v>Cada fila principal debe tener ambos IDs.</x:v>
      </x:c>
    </x:row>
    <x:row r="8" ht="79.19999694824219" hidden="0" customHeight="1">
      <x:c r="A8" s="35" t="str">
        <x:v>Celdas de score vacías</x:v>
      </x:c>
      <x:c r="B8" s="28" t="n">
        <x:f>COUNTBLANK('Watchlist'!AA5:AA26)</x:f>
        <x:v>0</x:v>
      </x:c>
      <x:c r="C8" s="126" t="str">
        <x:f>IF(B8=0,"OK","REVISAR")</x:f>
        <x:v>OK</x:v>
      </x:c>
      <x:c r="D8" s="33" t="str">
        <x:v>No debe faltar el enlace al total de Checklist_Lynch.</x:v>
      </x:c>
    </x:row>
    <x:row r="9" ht="52.79999923706055" hidden="0" customHeight="1">
      <x:c r="A9" s="35" t="str">
        <x:v>Escala máxima</x:v>
      </x:c>
      <x:c r="B9" s="28" t="n">
        <x:f>MAX('Checklist_Lynch'!L5:L26)</x:f>
        <x:v>14</x:v>
      </x:c>
      <x:c r="C9" s="126" t="str">
        <x:f>IF(B9&lt;=16,"OK","REVISAR")</x:f>
        <x:v>OK</x:v>
      </x:c>
      <x:c r="D9" s="33" t="str">
        <x:v>El máximo permitido por fila es 16.</x:v>
      </x:c>
    </x:row>
    <x:row r="10" ht="79.19999694824219" hidden="0" customHeight="1">
      <x:c r="A10" s="35" t="str">
        <x:v>Modelo</x:v>
      </x:c>
      <x:c r="B10" s="28" t="n">
        <x:f>COUNTIF(C5:C9,"REVISAR")+COUNTIF(C13:C14,"REVISAR")</x:f>
        <x:v>0</x:v>
      </x:c>
      <x:c r="C10" s="126" t="str">
        <x:f>IF(B10=0,"MODELO OK","HAY QUE REVISAR")</x:f>
        <x:v>MODELO OK</x:v>
      </x:c>
      <x:c r="D10" s="33" t="str">
        <x:v>Resumen de las comprobaciones anteriores.</x:v>
      </x:c>
    </x:row>
    <x:row r="11" ht="66" hidden="0" customHeight="1">
      <x:c r="A11" s="35" t="str">
        <x:v>Fecha de corte</x:v>
      </x:c>
      <x:c r="B11" s="130" t="n">
        <x:v>46238</x:v>
      </x:c>
      <x:c r="C11" s="126" t="str">
        <x:f>IF(B11=DATE(2026,8,4),"OK","REVISAR")</x:f>
        <x:v>OK</x:v>
      </x:c>
      <x:c r="D11" s="33" t="str">
        <x:v>Actualiza esta fecha cuando refresques los datos.</x:v>
      </x:c>
    </x:row>
    <x:row r="12" ht="105.5999984741211" hidden="0" customHeight="1">
      <x:c r="A12" s="35" t="str">
        <x:v>Recordatorio</x:v>
      </x:c>
      <x:c r="B12" s="28" t="str">
        <x:v>No es recomendación</x:v>
      </x:c>
      <x:c r="C12" s="126" t="str">
        <x:v>INFO</x:v>
      </x:c>
      <x:c r="D12" s="33" t="str">
        <x:v>Verifica siempre fuentes, precio, impuestos, divisa y tu perfil de riesgo.</x:v>
      </x:c>
    </x:row>
    <x:row r="13" ht="79.19999694824219" hidden="0" customHeight="1">
      <x:c r="A13" s="35" t="str">
        <x:v>Filas de seguimiento</x:v>
      </x:c>
      <x:c r="B13" s="28" t="n">
        <x:f>COUNTA('Seguimiento'!A5:A26)</x:f>
        <x:v>22</x:v>
      </x:c>
      <x:c r="C13" s="126" t="str">
        <x:f>IF(B13=22,"OK","REVISAR")</x:f>
        <x:v>OK</x:v>
      </x:c>
      <x:c r="D13" s="33" t="str">
        <x:v>Cada compañía debe tener una próxima revisión.</x:v>
      </x:c>
    </x:row>
    <x:row r="14" ht="118.80000305175781" hidden="0" customHeight="1">
      <x:c r="A14" s="35" t="str">
        <x:v>Filas de ranking 10-bagger</x:v>
      </x:c>
      <x:c r="B14" s="28" t="n">
        <x:f>COUNTA('Ranking_10Bagger'!B5:B26)</x:f>
        <x:v>22</x:v>
      </x:c>
      <x:c r="C14" s="126" t="str">
        <x:f>IF(B14=22,"OK","REVISAR")</x:f>
        <x:v>OK</x:v>
      </x:c>
      <x:c r="D14" s="33" t="str">
        <x:v>El ranking debe cubrir las 22 compañías y conservar sus enlaces.</x:v>
      </x:c>
    </x:row>
  </x:sheetData>
  <x:mergeCells>
    <x:mergeCell ref="A1:D1"/>
    <x:mergeCell ref="A2:D2"/>
  </x:mergeCells>
  <x:conditionalFormatting sqref="C5:C14">
    <x:cfRule type="containsText" dxfId="13" priority="1" operator="containsText" text="OK"/>
    <x:cfRule type="containsText" dxfId="14" priority="2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e57ca6ca3a24421c"/>
  </x:tableParts>
</x:worksheet>
</file>