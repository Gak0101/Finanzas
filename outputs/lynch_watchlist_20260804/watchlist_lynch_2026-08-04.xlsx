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ea96733434b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rtada" sheetId="1" r:id="R35504a2d3c3441c2"/>
    <x:sheet xmlns:r="http://schemas.openxmlformats.org/officeDocument/2006/relationships" name="Watchlist" sheetId="2" r:id="Ra1cbff37318c401a"/>
    <x:sheet xmlns:r="http://schemas.openxmlformats.org/officeDocument/2006/relationships" name="Checklist_Lynch" sheetId="3" r:id="R61125d6b96684bfa"/>
    <x:sheet xmlns:r="http://schemas.openxmlformats.org/officeDocument/2006/relationships" name="Historial" sheetId="4" r:id="R996c6a35350d4e73"/>
    <x:sheet xmlns:r="http://schemas.openxmlformats.org/officeDocument/2006/relationships" name="Plantilla_Ficha" sheetId="5" r:id="R3f1dc346de8d4b27"/>
    <x:sheet xmlns:r="http://schemas.openxmlformats.org/officeDocument/2006/relationships" name="Fuentes_Audit" sheetId="6" r:id="R24a33709ac444d91"/>
    <x:sheet xmlns:r="http://schemas.openxmlformats.org/officeDocument/2006/relationships" name="Seguimiento" sheetId="7" r:id="R32c8aa88db314e64"/>
    <x:sheet xmlns:r="http://schemas.openxmlformats.org/officeDocument/2006/relationships" name="Descartadas" sheetId="8" r:id="Re8b605f3ec8c41d7"/>
    <x:sheet xmlns:r="http://schemas.openxmlformats.org/officeDocument/2006/relationships" name="Checks" sheetId="9" r:id="R4818b216d4aa42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"/>
    <x:numFmt numFmtId="201" formatCode="0.00&quot;x&quot;"/>
    <x:numFmt numFmtId="202" formatCode="0"/>
    <x:numFmt numFmtId="203" formatCode="yyyy-mm-dd"/>
    <x:numFmt numFmtId="204" formatCode="#,##0.0"/>
    <x:numFmt numFmtId="205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6666"/>
      <x:name val="Carlito"/>
    </x:font>
    <x:font>
      <x:b/>
      <x:sz val="11"/>
      <x:color rgb="FF17365D"/>
      <x:name val="Carlito"/>
    </x:font>
    <x:font>
      <x:sz val="11"/>
      <x:color rgb="FF000000"/>
      <x:name val="Carlito"/>
    </x:font>
    <x:font>
      <x:b/>
      <x:sz val="10"/>
      <x:color rgb="FFFFFFFF"/>
      <x:name val="Carlito"/>
    </x:font>
    <x:font>
      <x:sz val="11"/>
      <x:color rgb="FF008000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2F2F2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203" fontId="7" fillId="0" borderId="0" xfId="0" applyNumberFormat="1" applyFont="1" applyFill="1" applyBorder="1"/>
    <x:xf numFmtId="200" fontId="7" fillId="0" borderId="0" xfId="0" applyNumberFormat="1" applyFont="1" applyFill="1" applyBorder="1"/>
    <x:xf numFmtId="204" fontId="7" fillId="0" borderId="0" xfId="0" applyNumberFormat="1" applyFont="1" applyFill="1" applyBorder="1"/>
    <x:xf numFmtId="201" fontId="7" fillId="0" borderId="0" xfId="0" applyNumberFormat="1" applyFont="1" applyFill="1" applyBorder="1"/>
    <x:xf numFmtId="205" fontId="7" fillId="0" borderId="0" xfId="0" applyNumberFormat="1" applyFont="1" applyFill="1" applyBorder="1"/>
    <x:xf numFmtId="201" fontId="4" fillId="0" borderId="0" xfId="0" applyNumberFormat="1" applyFont="1" applyFill="1" applyBorder="1"/>
    <x:xf numFmtId="202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3" fontId="7" fillId="0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4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205" fontId="7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203" fontId="7" fillId="0" borderId="0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 applyAlignment="1">
      <x:alignment vertical="center" wrapText="1"/>
    </x:xf>
    <x:xf numFmtId="204" fontId="7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5" fontId="7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202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horizontal="center"/>
    </x:xf>
    <x:xf numFmtId="202" fontId="4" fillId="0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horizontal="center" vertical="center"/>
    </x:xf>
    <x:xf numFmtId="202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horizontal="center" vertical="center" wrapText="1"/>
    </x:xf>
    <x:xf numFmtId="202" fontId="4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4" fontId="7" fillId="0" borderId="0" xfId="0" applyNumberFormat="1" applyFont="1" applyFill="1" applyBorder="1" applyAlignment="1">
      <x:alignment vertical="center"/>
    </x:xf>
    <x:xf numFmtId="205" fontId="7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0" fontId="4" fillId="0" borderId="0" xfId="0" applyNumberFormat="1" applyFont="1" applyFill="1" applyBorder="1"/>
    <x:xf numFmtId="205" fontId="4" fillId="0" borderId="0" xfId="0" applyNumberFormat="1" applyFont="1" applyFill="1" applyBorder="1"/>
    <x:xf numFmtId="0" fontId="7" fillId="7" borderId="0" xfId="0" applyNumberFormat="1" applyFont="1" applyFill="1" applyBorder="1"/>
    <x:xf numFmtId="203" fontId="7" fillId="7" borderId="0" xfId="0" applyNumberFormat="1" applyFont="1" applyFill="1" applyBorder="1"/>
    <x:xf numFmtId="0" fontId="7" fillId="3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3" fontId="7" fillId="7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205" fontId="4" fillId="0" borderId="0" xfId="0" applyNumberFormat="1" applyFont="1" applyFill="1" applyBorder="1" applyAlignment="1">
      <x:alignment vertical="center" wrapText="1"/>
    </x:xf>
    <x:xf numFmtId="203" fontId="7" fillId="7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/>
    <x:xf numFmtId="203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582bd502354ea8" /><Relationship Type="http://schemas.openxmlformats.org/officeDocument/2006/relationships/theme" Target="/xl/theme/theme1.xml" Id="R11f20f64fd10411b" /><Relationship Type="http://schemas.openxmlformats.org/officeDocument/2006/relationships/sharedStrings" Target="/xl/sharedStrings.xml" Id="R8a6ca670135f44e5" /><Relationship Type="http://schemas.openxmlformats.org/officeDocument/2006/relationships/worksheet" Target="/xl/worksheets/sheet1.xml" Id="R35504a2d3c3441c2" /><Relationship Type="http://schemas.openxmlformats.org/officeDocument/2006/relationships/worksheet" Target="/xl/worksheets/sheet2.xml" Id="Ra1cbff37318c401a" /><Relationship Type="http://schemas.openxmlformats.org/officeDocument/2006/relationships/worksheet" Target="/xl/worksheets/sheet3.xml" Id="R61125d6b96684bfa" /><Relationship Type="http://schemas.openxmlformats.org/officeDocument/2006/relationships/worksheet" Target="/xl/worksheets/sheet4.xml" Id="R996c6a35350d4e73" /><Relationship Type="http://schemas.openxmlformats.org/officeDocument/2006/relationships/worksheet" Target="/xl/worksheets/sheet5.xml" Id="R3f1dc346de8d4b27" /><Relationship Type="http://schemas.openxmlformats.org/officeDocument/2006/relationships/worksheet" Target="/xl/worksheets/sheet6.xml" Id="R24a33709ac444d91" /><Relationship Type="http://schemas.openxmlformats.org/officeDocument/2006/relationships/worksheet" Target="/xl/worksheets/sheet7.xml" Id="R32c8aa88db314e64" /><Relationship Type="http://schemas.openxmlformats.org/officeDocument/2006/relationships/worksheet" Target="/xl/worksheets/sheet8.xml" Id="Re8b605f3ec8c41d7" /><Relationship Type="http://schemas.openxmlformats.org/officeDocument/2006/relationships/worksheet" Target="/xl/worksheets/sheet9.xml" Id="R4818b216d4aa4271" /></Relationships>
</file>

<file path=xl/tables/table1.xml><?xml version="1.0" encoding="utf-8"?>
<x:table xmlns:x="http://schemas.openxmlformats.org/spreadsheetml/2006/main" id="1" name="QuickView" displayName="QuickView" ref="A11:H23" headerRowCount="1" totalsRowCount="0" totalsRowShown="0">
  <x:tableColumns count="8">
    <x:tableColumn id="1" name="Empresa"/>
    <x:tableColumn id="2" name="Ticker"/>
    <x:tableColumn id="3" name="Tipo"/>
    <x:tableColumn id="4" name="Precio"/>
    <x:tableColumn id="5" name="PER"/>
    <x:tableColumn id="6" name="Score"/>
    <x:tableColumn id="7" name="Veredicto"/>
    <x:tableColumn id="8" name="Priorida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atchlistTable" displayName="WatchlistTable" ref="A4:AB16" headerRowCount="1" totalsRowCount="0" totalsRowShown="0">
  <x:tableColumns count="28">
    <x:tableColumn id="1" name="Empresa"/>
    <x:tableColumn id="2" name="Ticker"/>
    <x:tableColumn id="3" name="Bolsa"/>
    <x:tableColumn id="4" name="Tipo / categoría Lynch"/>
    <x:tableColumn id="5" name="Fecha salida"/>
    <x:tableColumn id="6" name="Moneda / cuentas"/>
    <x:tableColumn id="7" name="Precio"/>
    <x:tableColumn id="8" name="Capitalización (m)"/>
    <x:tableColumn id="9" name="PER informado"/>
    <x:tableColumn id="10" name="EPS"/>
    <x:tableColumn id="11" name="Dividendo anual"/>
    <x:tableColumn id="12" name="Yield"/>
    <x:tableColumn id="13" name="Ventas / net contribution último (m)"/>
    <x:tableColumn id="14" name="Crec. ventas"/>
    <x:tableColumn id="15" name="Crec. EBITDA / beneficio"/>
    <x:tableColumn id="16" name="FCF último (m)"/>
    <x:tableColumn id="17" name="Deuda neta (+) / caja neta (-) (m)"/>
    <x:tableColumn id="18" name="PEG heurístico*"/>
    <x:tableColumn id="19" name="Catalizador"/>
    <x:tableColumn id="20" name="Riesgo principal"/>
    <x:tableColumn id="21" name="Próximo evento"/>
    <x:tableColumn id="22" name="Veredicto Lynch"/>
    <x:tableColumn id="23" name="Prioridad"/>
    <x:tableColumn id="24" name="As of"/>
    <x:tableColumn id="25" name="Fuente mercado"/>
    <x:tableColumn id="26" name="Fuente resultados"/>
    <x:tableColumn id="27" name="Score Lynch"/>
    <x:tableColumn id="28" name="Est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ecklistTable" displayName="ChecklistTable" ref="A4:O16" headerRowCount="1" totalsRowCount="0" totalsRowShown="0">
  <x:tableColumns count="15">
    <x:tableColumn id="1" name="Empresa"/>
    <x:tableColumn id="2" name="Ticker"/>
    <x:tableColumn id="3" name="Negocio comprensible (0-2)"/>
    <x:tableColumn id="4" name="Historia / catalizador (0-2)"/>
    <x:tableColumn id="5" name="Crecimiento (0-2)"/>
    <x:tableColumn id="6" name="Valoración (0-2)"/>
    <x:tableColumn id="7" name="Balance / caja (0-2)"/>
    <x:tableColumn id="8" name="Dividendo / recompra (0-1)"/>
    <x:tableColumn id="9" name="Insiders / ownership (0-1)"/>
    <x:tableColumn id="10" name="Riesgos manejables (0-2)"/>
    <x:tableColumn id="11" name="Evidencia / disciplina (0-2)"/>
    <x:tableColumn id="12" name="Total"/>
    <x:tableColumn id="13" name="Veredicto"/>
    <x:tableColumn id="14" name="Qué falta comprobar"/>
    <x:tableColumn id="15" name="Última revis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istoryTable" displayName="HistoryTable" ref="A4:P25" headerRowCount="1" totalsRowCount="0" totalsRowShown="0">
  <x:tableColumns count="16">
    <x:tableColumn id="1" name="Empresa"/>
    <x:tableColumn id="2" name="Ticker"/>
    <x:tableColumn id="3" name="Periodo"/>
    <x:tableColumn id="4" name="Tipo"/>
    <x:tableColumn id="5" name="Moneda"/>
    <x:tableColumn id="6" name="Ventas / net contribution (m)"/>
    <x:tableColumn id="7" name="Crec. ventas"/>
    <x:tableColumn id="8" name="EBITDA / op. profit (m)"/>
    <x:tableColumn id="9" name="Crec. EBITDA"/>
    <x:tableColumn id="10" name="Beneficio / PAT (m)"/>
    <x:tableColumn id="11" name="EPS"/>
    <x:tableColumn id="12" name="FCF (m)"/>
    <x:tableColumn id="13" name="Caja neta (-) / deuda neta (+) (m)"/>
    <x:tableColumn id="14" name="KPI operativo"/>
    <x:tableColumn id="15" name="Fuente ID"/>
    <x:tableColumn id="16" name="Not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G54" headerRowCount="1" totalsRowCount="0" totalsRowShown="0">
  <x:tableColumns count="7">
    <x:tableColumn id="1" name="Fuente ID"/>
    <x:tableColumn id="2" name="Empresa"/>
    <x:tableColumn id="3" name="Fecha"/>
    <x:tableColumn id="4" name="Tipo"/>
    <x:tableColumn id="5" name="Qué respalda"/>
    <x:tableColumn id="6" name="URL"/>
    <x:tableColumn id="7" name="Nota de calidad / us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ollowUpTable" displayName="FollowUpTable" ref="A4:L16" headerRowCount="1" totalsRowCount="0" totalsRowShown="0">
  <x:tableColumns count="12">
    <x:tableColumn id="1" name="Empresa"/>
    <x:tableColumn id="2" name="Ticker"/>
    <x:tableColumn id="3" name="Última revisión"/>
    <x:tableColumn id="4" name="Próxima revisión"/>
    <x:tableColumn id="5" name="Tipo"/>
    <x:tableColumn id="6" name="Métricas a comparar"/>
    <x:tableColumn id="7" name="Dato base"/>
    <x:tableColumn id="8" name="Qué debe mejorar / mantenerse"/>
    <x:tableColumn id="9" name="Condición de invalidación"/>
    <x:tableColumn id="10" name="Acción siguiente"/>
    <x:tableColumn id="11" name="Fuente / evento"/>
    <x:tableColumn id="12" name="Estad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jectedTable" displayName="RejectedTable" ref="A4:J5" headerRowCount="1" totalsRowCount="0" totalsRowShown="0">
  <x:tableColumns count="10">
    <x:tableColumn id="1" name="Empresa"/>
    <x:tableColumn id="2" name="Ticker"/>
    <x:tableColumn id="3" name="Fecha salida"/>
    <x:tableColumn id="4" name="Precio"/>
    <x:tableColumn id="5" name="PER"/>
    <x:tableColumn id="6" name="Rent. 1 año"/>
    <x:tableColumn id="7" name="Ventas FY25 (m)"/>
    <x:tableColumn id="8" name="Crec. ventas"/>
    <x:tableColumn id="9" name="FCF FY25 (m)"/>
    <x:tableColumn id="10" name="Motivo de no selecció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cksTable" displayName="ChecksTable" ref="A4:D13" headerRowCount="1" totalsRowCount="0" totalsRowShown="0">
  <x:tableColumns count="4">
    <x:tableColumn id="1" name="Comprobación"/>
    <x:tableColumn id="2" name="Valor"/>
    <x:tableColumn id="3" name="Estado"/>
    <x:tableColumn id="4" name="Qué signific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9c48849af4e47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876d359aef4d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bffa00cde14c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31271e200f643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d59cea838cb4f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b44965d07849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e595bf2401c4c4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d749d5370804c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5" hidden="0" customWidth="1"/>
    <x:col min="3" max="3" width="100.87999725341797" hidden="0" customWidth="1"/>
    <x:col min="4" max="4" width="20" hidden="0" customWidth="1"/>
    <x:col min="5" max="5" width="18" hidden="0" customWidth="1"/>
    <x:col min="6" max="6" width="100.87999725341797" hidden="0" customWidth="1"/>
    <x:col min="7" max="7" width="35" hidden="0" customWidth="1"/>
    <x:col min="8" max="8" width="100.87999725341797" hidden="0" customWidth="1"/>
  </x:cols>
  <x:sheetData>
    <x:row r="1" ht="19.200000762939453" hidden="0" customHeight="1">
      <x:c r="A1" s="34" t="str">
        <x:v>Watchlist de acciones — enfoque Lynch</x:v>
      </x:c>
      <x:c r="B1" s="34" t="str">
        <x:v>Watchlist de acciones — enfoque Lynch</x:v>
      </x:c>
      <x:c r="C1" s="34" t="str">
        <x:v>Watchlist de acciones — enfoque Lynch</x:v>
      </x:c>
      <x:c r="D1" s="34" t="str">
        <x:v>Watchlist de acciones — enfoque Lynch</x:v>
      </x:c>
      <x:c r="E1" s="34" t="str">
        <x:v>Watchlist de acciones — enfoque Lynch</x:v>
      </x:c>
      <x:c r="F1" s="34" t="str">
        <x:v>Watchlist de acciones — enfoque Lynch</x:v>
      </x:c>
      <x:c r="G1" s="34" t="str">
        <x:v>Watchlist de acciones — enfoque Lynch</x:v>
      </x:c>
      <x:c r="H1" s="34" t="str">
        <x:v>Watchlist de acciones — enfoque Lynch</x:v>
      </x:c>
    </x:row>
    <x:row r="2" ht="24" hidden="0" customHeight="1">
      <x:c r="A2" s="8" t="str">
        <x:v>Plantilla de investigación y seguimiento. Fecha de corte: 2026-08-04. Las conclusiones son hipótesis de trabajo, no una recomendación personalizada.</x:v>
      </x:c>
      <x:c r="B2" s="8" t="str">
        <x:v>Plantilla de investigación y seguimiento. Fecha de corte: 2026-08-04. Las conclusiones son hipótesis de trabajo, no una recomendación personalizada.</x:v>
      </x:c>
      <x:c r="C2" s="8" t="str">
        <x:v>Plantilla de investigación y seguimiento. Fecha de corte: 2026-08-04. Las conclusiones son hipótesis de trabajo, no una recomendación personalizada.</x:v>
      </x:c>
      <x:c r="D2" s="8" t="str">
        <x:v>Plantilla de investigación y seguimiento. Fecha de corte: 2026-08-04. Las conclusiones son hipótesis de trabajo, no una recomendación personalizada.</x:v>
      </x:c>
      <x:c r="E2" s="8" t="str">
        <x:v>Plantilla de investigación y seguimiento. Fecha de corte: 2026-08-04. Las conclusiones son hipótesis de trabajo, no una recomendación personalizada.</x:v>
      </x:c>
      <x:c r="F2" s="8" t="str">
        <x:v>Plantilla de investigación y seguimiento. Fecha de corte: 2026-08-04. Las conclusiones son hipótesis de trabajo, no una recomendación personalizada.</x:v>
      </x:c>
      <x:c r="G2" s="8" t="str">
        <x:v>Plantilla de investigación y seguimiento. Fecha de corte: 2026-08-04. Las conclusiones son hipótesis de trabajo, no una recomendación personalizada.</x:v>
      </x:c>
      <x:c r="H2" s="8" t="str">
        <x:v>Plantilla de investigación y seguimiento. Fecha de corte: 2026-08-04. Las conclusiones son hipótesis de trabajo, no una recomendación personalizada.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</x:row>
    <x:row r="4" ht="105.5999984741211" hidden="0" customHeight="1">
      <x:c r="A4" s="35" t="str">
        <x:v>Objetivo</x:v>
      </x:c>
      <x:c r="B4" s="28" t="str">
        <x:v>Convertir una idea en una tesis comprobable y actualizable.</x:v>
      </x:c>
      <x:c r="C4" s="33"/>
      <x:c r="D4" s="33"/>
      <x:c r="E4" s="33"/>
      <x:c r="F4" s="33"/>
      <x:c r="G4" s="33"/>
      <x:c r="H4" s="33"/>
    </x:row>
    <x:row r="5" ht="145.1999969482422" hidden="0" customHeight="1">
      <x:c r="A5" s="35" t="str">
        <x:v>Método</x:v>
      </x:c>
      <x:c r="B5" s="28" t="str">
        <x:v>Negocio comprensible + historia/catalizador + crecimiento + PER/valoración + balance + riesgos.</x:v>
      </x:c>
      <x:c r="C5" s="33"/>
      <x:c r="D5" s="33"/>
      <x:c r="E5" s="33"/>
      <x:c r="F5" s="33"/>
      <x:c r="G5" s="33"/>
      <x:c r="H5" s="33"/>
    </x:row>
    <x:row r="6" ht="118.80000305175781" hidden="0" customHeight="1">
      <x:c r="A6" s="35" t="str">
        <x:v>Cómo usarlo</x:v>
      </x:c>
      <x:c r="B6" s="28" t="str">
        <x:v>Actualiza en azul; conserva el enlace y la fecha de cada dato en Fuentes_Audit.</x:v>
      </x:c>
      <x:c r="C6" s="33"/>
      <x:c r="D6" s="33"/>
      <x:c r="E6" s="33"/>
      <x:c r="F6" s="33"/>
      <x:c r="G6" s="33"/>
      <x:c r="H6" s="33"/>
    </x:row>
    <x:row r="7" ht="145.1999969482422" hidden="0" customHeight="1">
      <x:c r="A7" s="35" t="str">
        <x:v>Regla</x:v>
      </x:c>
      <x:c r="B7" s="28" t="str">
        <x:v>Una puntuación alta no sustituye revisar deuda, dilución, resultados y precio de entrada.</x:v>
      </x:c>
      <x:c r="C7" s="33"/>
      <x:c r="D7" s="33"/>
      <x:c r="E7" s="33"/>
      <x:c r="F7" s="33"/>
      <x:c r="G7" s="33"/>
      <x:c r="H7" s="33"/>
    </x:row>
    <x:row r="8" ht="184.8000030517578" hidden="0" customHeight="1">
      <x:c r="A8" s="35" t="str">
        <x:v>Universo actual</x:v>
      </x:c>
      <x:c r="B8" s="28" t="str">
        <x:v>12 compañías: 7 ya estudiadas y 5 incorporaciones nuevas. Usa Seguimiento para saber qué revisar y cuándo.</x:v>
      </x:c>
      <x:c r="C8" s="33"/>
      <x:c r="D8" s="33"/>
      <x:c r="E8" s="33"/>
      <x:c r="F8" s="33"/>
      <x:c r="G8" s="33"/>
      <x:c r="H8" s="33"/>
    </x:row>
    <x:row r="9" ht="15" hidden="0" customHeight="1">
      <x:c r="A9" s="33"/>
      <x:c r="B9" s="33"/>
      <x:c r="C9" s="33"/>
      <x:c r="D9" s="33"/>
      <x:c r="E9" s="33"/>
      <x:c r="F9" s="33"/>
      <x:c r="G9" s="33"/>
      <x:c r="H9" s="33"/>
    </x:row>
    <x:row r="10" ht="15" hidden="0" customHeight="1">
      <x:c r="A10" s="36" t="str">
        <x:v>Lectura rápida de la watchlist</x:v>
      </x:c>
      <x:c r="B10" s="36" t="str">
        <x:v>Lectura rápida de la watchlist</x:v>
      </x:c>
      <x:c r="C10" s="36" t="str">
        <x:v>Lectura rápida de la watchlist</x:v>
      </x:c>
      <x:c r="D10" s="36" t="str">
        <x:v>Lectura rápida de la watchlist</x:v>
      </x:c>
      <x:c r="E10" s="36" t="str">
        <x:v>Lectura rápida de la watchlist</x:v>
      </x:c>
      <x:c r="F10" s="36" t="str">
        <x:v>Lectura rápida de la watchlist</x:v>
      </x:c>
      <x:c r="G10" s="36" t="str">
        <x:v>Lectura rápida de la watchlist</x:v>
      </x:c>
      <x:c r="H10" s="36" t="str">
        <x:v>Lectura rápida de la watchlist</x:v>
      </x:c>
    </x:row>
    <x:row r="11" ht="15" hidden="0" customHeight="1">
      <x:c r="A11" s="20" t="str">
        <x:v>Empresa</x:v>
      </x:c>
      <x:c r="B11" s="20" t="str">
        <x:v>Ticker</x:v>
      </x:c>
      <x:c r="C11" s="20" t="str">
        <x:v>Tipo</x:v>
      </x:c>
      <x:c r="D11" s="20" t="str">
        <x:v>Precio</x:v>
      </x:c>
      <x:c r="E11" s="20" t="str">
        <x:v>PER</x:v>
      </x:c>
      <x:c r="F11" s="20" t="str">
        <x:v>Score</x:v>
      </x:c>
      <x:c r="G11" s="20" t="str">
        <x:v>Veredicto</x:v>
      </x:c>
      <x:c r="H11" s="20" t="str">
        <x:v>Prioridad</x:v>
      </x:c>
    </x:row>
    <x:row r="12" ht="26.399999618530273" hidden="0" customHeight="1">
      <x:c r="A12" s="33" t="str">
        <x:v>Atalaya Mining</x:v>
      </x:c>
      <x:c r="B12" s="33" t="str">
        <x:v>ATYM</x:v>
      </x:c>
      <x:c r="C12" s="33" t="str">
        <x:v>Existente / cíclica</x:v>
      </x:c>
      <x:c r="D12" s="37" t="n">
        <x:v>917</x:v>
      </x:c>
      <x:c r="E12" s="38" t="n">
        <x:v>17.29</x:v>
      </x:c>
      <x:c r="F12" s="39" t="n">
        <x:f>'Watchlist'!AA5</x:f>
        <x:v>11</x:v>
      </x:c>
      <x:c r="G12" s="40" t="str">
        <x:f>'Watchlist'!V5</x:f>
        <x:v>Esperar / vigilar</x:v>
      </x:c>
      <x:c r="H12" s="40" t="n">
        <x:f>'Watchlist'!W5</x:f>
        <x:v>2</x:v>
      </x:c>
    </x:row>
    <x:row r="13" ht="26.399999618530273" hidden="0" customHeight="1">
      <x:c r="A13" s="33" t="str">
        <x:v>Rio Tinto</x:v>
      </x:c>
      <x:c r="B13" s="33" t="str">
        <x:v>RIO</x:v>
      </x:c>
      <x:c r="C13" s="33" t="str">
        <x:v>Existente / cíclica</x:v>
      </x:c>
      <x:c r="D13" s="37" t="n">
        <x:v>7313</x:v>
      </x:c>
      <x:c r="E13" s="38" t="n">
        <x:v>16.05</x:v>
      </x:c>
      <x:c r="F13" s="39" t="n">
        <x:f>'Watchlist'!AA6</x:f>
        <x:v>14</x:v>
      </x:c>
      <x:c r="G13" s="40" t="str">
        <x:f>'Watchlist'!V6</x:f>
        <x:v>Compra escalonada / vigilar precio</x:v>
      </x:c>
      <x:c r="H13" s="40" t="n">
        <x:f>'Watchlist'!W6</x:f>
        <x:v>1</x:v>
      </x:c>
    </x:row>
    <x:row r="14" ht="52.79999923706055" hidden="0" customHeight="1">
      <x:c r="A14" s="33" t="str">
        <x:v>eToro</x:v>
      </x:c>
      <x:c r="B14" s="33" t="str">
        <x:v>ETOR</x:v>
      </x:c>
      <x:c r="C14" s="33" t="str">
        <x:v>Nueva / alto crecimiento</x:v>
      </x:c>
      <x:c r="D14" s="37" t="n">
        <x:v>37.06</x:v>
      </x:c>
      <x:c r="E14" s="38" t="n">
        <x:v>15.47</x:v>
      </x:c>
      <x:c r="F14" s="39" t="n">
        <x:f>'Watchlist'!AA7</x:f>
        <x:v>12</x:v>
      </x:c>
      <x:c r="G14" s="40" t="str">
        <x:f>'Watchlist'!V7</x:f>
        <x:v>Vigilar / posible entrada pequeña</x:v>
      </x:c>
      <x:c r="H14" s="40" t="n">
        <x:f>'Watchlist'!W7</x:f>
        <x:v>2</x:v>
      </x:c>
    </x:row>
    <x:row r="15" ht="39.599998474121094" hidden="0" customHeight="1">
      <x:c r="A15" s="33" t="str">
        <x:v>HBX Group</x:v>
      </x:c>
      <x:c r="B15" s="33" t="str">
        <x:v>HBX</x:v>
      </x:c>
      <x:c r="C15" s="33" t="str">
        <x:v>Nueva / crecimiento-cíclica</x:v>
      </x:c>
      <x:c r="D15" s="37" t="n">
        <x:v>7.71</x:v>
      </x:c>
      <x:c r="E15" s="38" t="n">
        <x:v>10.21</x:v>
      </x:c>
      <x:c r="F15" s="39" t="n">
        <x:f>'Watchlist'!AA8</x:f>
        <x:v>12</x:v>
      </x:c>
      <x:c r="G15" s="40" t="str">
        <x:f>'Watchlist'!V8</x:f>
        <x:v>Vigilar / oportunidad con margen</x:v>
      </x:c>
      <x:c r="H15" s="40" t="n">
        <x:f>'Watchlist'!W8</x:f>
        <x:v>1</x:v>
      </x:c>
    </x:row>
    <x:row r="16" ht="52.79999923706055" hidden="0" customHeight="1">
      <x:c r="A16" s="33" t="str">
        <x:v>Figma</x:v>
      </x:c>
      <x:c r="B16" s="33" t="str">
        <x:v>FIG</x:v>
      </x:c>
      <x:c r="C16" s="33" t="str">
        <x:v>Nueva / alto crecimiento</x:v>
      </x:c>
      <x:c r="D16" s="37" t="n">
        <x:v>27.26</x:v>
      </x:c>
      <x:c r="E16" s="38" t="n">
        <x:v>-6.78</x:v>
      </x:c>
      <x:c r="F16" s="39" t="n">
        <x:f>'Watchlist'!AA9</x:f>
        <x:v>10</x:v>
      </x:c>
      <x:c r="G16" s="40" t="str">
        <x:f>'Watchlist'!V9</x:f>
        <x:v>Esperar / no comprar antes de resultados</x:v>
      </x:c>
      <x:c r="H16" s="40" t="n">
        <x:f>'Watchlist'!W9</x:f>
        <x:v>3</x:v>
      </x:c>
    </x:row>
    <x:row r="17" ht="39.599998474121094" hidden="0" customHeight="1">
      <x:c r="A17" s="33" t="str">
        <x:v>JD Sports</x:v>
      </x:c>
      <x:c r="B17" s="33" t="str">
        <x:v>JD.</x:v>
      </x:c>
      <x:c r="C17" s="33" t="str">
        <x:v>Madura / crecimiento</x:v>
      </x:c>
      <x:c r="D17" s="37" t="n">
        <x:v>86.18</x:v>
      </x:c>
      <x:c r="E17" s="38" t="n">
        <x:v>9.99</x:v>
      </x:c>
      <x:c r="F17" s="39" t="n">
        <x:f>'Watchlist'!AA10</x:f>
        <x:v>11</x:v>
      </x:c>
      <x:c r="G17" s="40" t="str">
        <x:f>'Watchlist'!V10</x:f>
        <x:v>Oportunidad condicional / vigilar márgenes</x:v>
      </x:c>
      <x:c r="H17" s="40" t="n">
        <x:f>'Watchlist'!W10</x:f>
        <x:v>1</x:v>
      </x:c>
    </x:row>
    <x:row r="18" ht="39.599998474121094" hidden="0" customHeight="1">
      <x:c r="A18" s="33" t="str">
        <x:v>PayPal</x:v>
      </x:c>
      <x:c r="B18" s="33" t="str">
        <x:v>PYPL</x:v>
      </x:c>
      <x:c r="C18" s="33" t="str">
        <x:v>Madura / recuperable</x:v>
      </x:c>
      <x:c r="D18" s="37" t="n">
        <x:v>58.335</x:v>
      </x:c>
      <x:c r="E18" s="38" t="n">
        <x:v>11.03</x:v>
      </x:c>
      <x:c r="F18" s="39" t="n">
        <x:f>'Watchlist'!AA11</x:f>
        <x:v>11</x:v>
      </x:c>
      <x:c r="G18" s="40" t="str">
        <x:f>'Watchlist'!V11</x:f>
        <x:v>Oportunidad especulativa / vigilar ejecución</x:v>
      </x:c>
      <x:c r="H18" s="40" t="n">
        <x:f>'Watchlist'!W11</x:f>
        <x:v>2</x:v>
      </x:c>
    </x:row>
    <x:row r="19" ht="39.599998474121094" hidden="0" customHeight="1">
      <x:c r="A19" s="33" t="str">
        <x:v>Wise</x:v>
      </x:c>
      <x:c r="B19" s="33" t="str">
        <x:v>WISE</x:v>
      </x:c>
      <x:c r="C19" s="33" t="str">
        <x:v>Alto crecimiento / calidad</x:v>
      </x:c>
      <x:c r="D19" s="37" t="n">
        <x:v>905.6</x:v>
      </x:c>
      <x:c r="E19" s="38" t="n">
        <x:v>24.38</x:v>
      </x:c>
      <x:c r="F19" s="39" t="n">
        <x:f>'Watchlist'!AA12</x:f>
        <x:v>12</x:v>
      </x:c>
      <x:c r="G19" s="40" t="str">
        <x:f>'Watchlist'!V12</x:f>
        <x:v>Vigilar / crecimiento con precio exigente</x:v>
      </x:c>
      <x:c r="H19" s="40" t="n">
        <x:f>'Watchlist'!W12</x:f>
        <x:v>2</x:v>
      </x:c>
    </x:row>
    <x:row r="20" ht="39.599998474121094" hidden="0" customHeight="1">
      <x:c r="A20" s="33" t="str">
        <x:v>Auto Trader</x:v>
      </x:c>
      <x:c r="B20" s="33" t="str">
        <x:v>AUTO</x:v>
      </x:c>
      <x:c r="C20" s="33" t="str">
        <x:v>Madura / crecimiento</x:v>
      </x:c>
      <x:c r="D20" s="37" t="n">
        <x:v>532.4</x:v>
      </x:c>
      <x:c r="E20" s="38" t="n">
        <x:v>15.58</x:v>
      </x:c>
      <x:c r="F20" s="39" t="n">
        <x:f>'Watchlist'!AA13</x:f>
        <x:v>13</x:v>
      </x:c>
      <x:c r="G20" s="40" t="str">
        <x:f>'Watchlist'!V13</x:f>
        <x:v>Oportunidad condicional / vigilar Deal Builder</x:v>
      </x:c>
      <x:c r="H20" s="40" t="n">
        <x:f>'Watchlist'!W13</x:f>
        <x:v>1</x:v>
      </x:c>
    </x:row>
    <x:row r="21" ht="52.79999923706055" hidden="0" customHeight="1">
      <x:c r="A21" s="33" t="str">
        <x:v>B&amp;M European Value Retail</x:v>
      </x:c>
      <x:c r="B21" s="33" t="str">
        <x:v>BME</x:v>
      </x:c>
      <x:c r="C21" s="33" t="str">
        <x:v>Recuperable / cíclica</x:v>
      </x:c>
      <x:c r="D21" s="37" t="n">
        <x:v>225.8</x:v>
      </x:c>
      <x:c r="E21" s="38" t="n">
        <x:v>13.85</x:v>
      </x:c>
      <x:c r="F21" s="39" t="n">
        <x:f>'Watchlist'!AA14</x:f>
        <x:v>12</x:v>
      </x:c>
      <x:c r="G21" s="40" t="str">
        <x:f>'Watchlist'!V14</x:f>
        <x:v>Oportunidad de turnaround / esperar confirmación</x:v>
      </x:c>
      <x:c r="H21" s="40" t="n">
        <x:f>'Watchlist'!W14</x:f>
        <x:v>1</x:v>
      </x:c>
    </x:row>
    <x:row r="22" ht="26.399999618530273" hidden="0" customHeight="1">
      <x:c r="A22" s="33" t="str">
        <x:v>Kainos Group</x:v>
      </x:c>
      <x:c r="B22" s="33" t="str">
        <x:v>KNOS</x:v>
      </x:c>
      <x:c r="C22" s="33" t="str">
        <x:v>Crecimiento / nicho</x:v>
      </x:c>
      <x:c r="D22" s="37" t="n">
        <x:v>820</x:v>
      </x:c>
      <x:c r="E22" s="38" t="n">
        <x:v>23.1</x:v>
      </x:c>
      <x:c r="F22" s="39" t="n">
        <x:f>'Watchlist'!AA15</x:f>
        <x:v>13</x:v>
      </x:c>
      <x:c r="G22" s="40" t="str">
        <x:f>'Watchlist'!V15</x:f>
        <x:v>Vigilar / posible entrada pequeña</x:v>
      </x:c>
      <x:c r="H22" s="40" t="n">
        <x:f>'Watchlist'!W15</x:f>
        <x:v>2</x:v>
      </x:c>
    </x:row>
    <x:row r="23" ht="26.399999618530273" hidden="0" customHeight="1">
      <x:c r="A23" s="33" t="str">
        <x:v>Plus500</x:v>
      </x:c>
      <x:c r="B23" s="33" t="str">
        <x:v>PLUS</x:v>
      </x:c>
      <x:c r="C23" s="33" t="str">
        <x:v>Madura / cíclica</x:v>
      </x:c>
      <x:c r="D23" s="37" t="n">
        <x:v>3746</x:v>
      </x:c>
      <x:c r="E23" s="38" t="n">
        <x:v>12.84</x:v>
      </x:c>
      <x:c r="F23" s="39" t="n">
        <x:f>'Watchlist'!AA16</x:f>
        <x:v>14</x:v>
      </x:c>
      <x:c r="G23" s="40" t="str">
        <x:f>'Watchlist'!V16</x:f>
        <x:v>Oportunidad especulativa / esperar H1</x:v>
      </x:c>
      <x:c r="H23" s="40" t="n">
        <x:f>'Watchlist'!W16</x:f>
        <x:v>2</x:v>
      </x:c>
    </x:row>
    <x:row r="24" ht="15" hidden="0" customHeight="1">
      <x:c r="A24" s="33"/>
      <x:c r="B24" s="33"/>
      <x:c r="C24" s="33"/>
      <x:c r="D24" s="33"/>
      <x:c r="E24" s="33"/>
      <x:c r="F24" s="33"/>
      <x:c r="G24" s="33"/>
      <x:c r="H24" s="33"/>
    </x:row>
    <x:row r="25" ht="15" hidden="0" customHeight="1">
      <x:c r="A25" s="33"/>
      <x:c r="B25" s="33"/>
      <x:c r="C25" s="33"/>
      <x:c r="D25" s="33"/>
      <x:c r="E25" s="33"/>
      <x:c r="F25" s="33"/>
      <x:c r="G25" s="33"/>
      <x:c r="H25" s="33"/>
    </x:row>
    <x:row r="26" ht="15" hidden="0" customHeight="1">
      <x:c r="A26" s="36" t="str">
        <x:v>Cómo interpretar la puntuación</x:v>
      </x:c>
      <x:c r="B26" s="36" t="str">
        <x:v>Cómo interpretar la puntuación</x:v>
      </x:c>
      <x:c r="C26" s="36" t="str">
        <x:v>Cómo interpretar la puntuación</x:v>
      </x:c>
      <x:c r="D26" s="36" t="str">
        <x:v>Cómo interpretar la puntuación</x:v>
      </x:c>
      <x:c r="E26" s="36" t="str">
        <x:v>Cómo interpretar la puntuación</x:v>
      </x:c>
      <x:c r="F26" s="36" t="str">
        <x:v>Cómo interpretar la puntuación</x:v>
      </x:c>
      <x:c r="G26" s="36" t="str">
        <x:v>Cómo interpretar la puntuación</x:v>
      </x:c>
      <x:c r="H26" s="36" t="str">
        <x:v>Cómo interpretar la puntuación</x:v>
      </x:c>
    </x:row>
    <x:row r="27" ht="92.4000015258789" hidden="0" customHeight="1">
      <x:c r="A27" s="35" t="str">
        <x:v>12–16</x:v>
      </x:c>
      <x:c r="B27" s="33" t="str">
        <x:v>Candidato: merece profundizar y definir precio de entrada.</x:v>
      </x:c>
      <x:c r="C27" s="33"/>
      <x:c r="D27" s="35" t="str">
        <x:v>Hoja</x:v>
      </x:c>
      <x:c r="E27" s="35" t="str">
        <x:v>Uso</x:v>
      </x:c>
      <x:c r="F27" s="33" t="str"/>
      <x:c r="G27" s="33" t="str"/>
      <x:c r="H27" s="33" t="str"/>
    </x:row>
    <x:row r="28" ht="92.4000015258789" hidden="0" customHeight="1">
      <x:c r="A28" s="35" t="str">
        <x:v>9–11</x:v>
      </x:c>
      <x:c r="B28" s="33" t="str">
        <x:v>Vigilancia: hay algo interesante, pero falta confirmar una pieza.</x:v>
      </x:c>
      <x:c r="C28" s="33"/>
      <x:c r="D28" s="33" t="str">
        <x:v>Watchlist</x:v>
      </x:c>
      <x:c r="E28" s="33" t="str">
        <x:v>Panel principal y datos de mercado/resultados.</x:v>
      </x:c>
      <x:c r="F28" s="33" t="str"/>
      <x:c r="G28" s="33" t="str"/>
      <x:c r="H28" s="33" t="str"/>
    </x:row>
    <x:row r="29" ht="92.4000015258789" hidden="0" customHeight="1">
      <x:c r="A29" s="35" t="str">
        <x:v>0–8</x:v>
      </x:c>
      <x:c r="B29" s="33" t="str">
        <x:v>Revisar: no hay suficiente margen de seguridad o claridad.</x:v>
      </x:c>
      <x:c r="C29" s="33"/>
      <x:c r="D29" s="33" t="str">
        <x:v>Checklist_Lynch</x:v>
      </x:c>
      <x:c r="E29" s="33" t="str">
        <x:v>Puntuación y preguntas pendientes.</x:v>
      </x:c>
      <x:c r="F29" s="33" t="str"/>
      <x:c r="G29" s="33" t="str"/>
      <x:c r="H29" s="33" t="str"/>
    </x:row>
    <x:row r="30" ht="171.60000610351562" hidden="0" customHeight="1">
      <x:c r="A30" s="35" t="str">
        <x:v>Importante</x:v>
      </x:c>
      <x:c r="B30" s="33" t="str">
        <x:v>La puntuación es una ayuda de proceso creada para esta hoja; no es una escala oficial de Peter Lynch.</x:v>
      </x:c>
      <x:c r="C30" s="33"/>
      <x:c r="D30" s="33" t="str">
        <x:v>Historial / Fuentes_Audit</x:v>
      </x:c>
      <x:c r="E30" s="33" t="str">
        <x:v>Series y trazabilidad de cada afirmación.</x:v>
      </x:c>
      <x:c r="F30" s="33" t="str"/>
      <x:c r="G30" s="33" t="str"/>
      <x:c r="H30" s="33" t="str"/>
    </x:row>
    <x:row r="31" ht="171.60000610351562" hidden="0" customHeight="1">
      <x:c r="A31" s="35" t="str">
        <x:v>Siguiente paso</x:v>
      </x:c>
      <x:c r="B31" s="33" t="str">
        <x:v>Ve a Seguimiento: compara precio, PER, crecimiento, FCF, deuda y el dato que puede invalidar la tesis.</x:v>
      </x:c>
      <x:c r="C31" s="33"/>
      <x:c r="D31" s="33" t="str">
        <x:v>Seguimiento</x:v>
      </x:c>
      <x:c r="E31" s="33" t="str">
        <x:v>Próxima revisión, métricas a comparar y condición de invalidación.</x:v>
      </x:c>
      <x:c r="F31" s="33" t="str"/>
      <x:c r="G31" s="33" t="str"/>
      <x:c r="H31" s="33" t="str"/>
    </x:row>
  </x:sheetData>
  <x:mergeCells>
    <x:mergeCell ref="A1:H1"/>
    <x:mergeCell ref="A2:H2"/>
    <x:mergeCell ref="A10:H10"/>
    <x:mergeCell ref="A26:H26"/>
  </x:mergeCells>
  <x:pageMargins left="0.7" right="0.7" top="0.75" bottom="0.75" header="0.3" footer="0.3"/>
  <x:tableParts count="1">
    <x:tablePart xmlns:r="http://schemas.openxmlformats.org/officeDocument/2006/relationships" r:id="Rd9c48849af4e472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" hidden="0" customWidth="1"/>
    <x:col min="3" max="3" width="12" hidden="0" customWidth="1"/>
    <x:col min="4" max="4" width="27" hidden="0" customWidth="1"/>
    <x:col min="5" max="5" width="12" hidden="0" customWidth="1"/>
    <x:col min="6" max="6" width="14" hidden="0" customWidth="1"/>
    <x:col min="7" max="7" width="11" hidden="0" customWidth="1"/>
    <x:col min="8" max="8" width="15" hidden="0" customWidth="1"/>
    <x:col min="9" max="9" width="11" hidden="0" customWidth="1"/>
    <x:col min="10" max="10" width="10" hidden="0" customWidth="1"/>
    <x:col min="11" max="11" width="12" hidden="0" customWidth="1"/>
    <x:col min="12" max="12" width="10" hidden="0" customWidth="1"/>
    <x:col min="13" max="13" width="16" hidden="0" customWidth="1"/>
    <x:col min="14" max="14" width="11" hidden="0" customWidth="1"/>
    <x:col min="15" max="15" width="15" hidden="0" customWidth="1"/>
    <x:col min="16" max="16" width="13" hidden="0" customWidth="1"/>
    <x:col min="17" max="17" width="15" hidden="0" customWidth="1"/>
    <x:col min="18" max="18" width="12" hidden="0" customWidth="1"/>
    <x:col min="19" max="19" width="42" hidden="0" customWidth="1"/>
    <x:col min="20" max="20" width="42" hidden="0" customWidth="1"/>
    <x:col min="21" max="21" width="26" hidden="0" customWidth="1"/>
    <x:col min="22" max="22" width="34" hidden="0" customWidth="1"/>
    <x:col min="23" max="23" width="10" hidden="0" customWidth="1"/>
    <x:col min="24" max="24" width="12" hidden="0" customWidth="1"/>
    <x:col min="25" max="25" width="14" hidden="0" customWidth="1"/>
    <x:col min="26" max="26" width="14" hidden="0" customWidth="1"/>
    <x:col min="27" max="27" width="10" hidden="0" customWidth="1"/>
    <x:col min="28" max="28" width="15" hidden="0" customWidth="1"/>
  </x:cols>
  <x:sheetData>
    <x:row r="1" ht="19.200000762939453" hidden="0" customHeight="1">
      <x:c r="A1" s="34" t="str">
        <x:v>Watchlist principal</x:v>
      </x:c>
      <x:c r="B1" s="34" t="str">
        <x:v>Watchlist principal</x:v>
      </x:c>
      <x:c r="C1" s="34" t="str">
        <x:v>Watchlist principal</x:v>
      </x:c>
      <x:c r="D1" s="34" t="str">
        <x:v>Watchlist principal</x:v>
      </x:c>
      <x:c r="E1" s="34" t="str">
        <x:v>Watchlist principal</x:v>
      </x:c>
      <x:c r="F1" s="34" t="str">
        <x:v>Watchlist principal</x:v>
      </x:c>
      <x:c r="G1" s="34" t="str">
        <x:v>Watchlist principal</x:v>
      </x:c>
      <x:c r="H1" s="34" t="str">
        <x:v>Watchlist principal</x:v>
      </x:c>
      <x:c r="I1" s="34" t="str">
        <x:v>Watchlist principal</x:v>
      </x:c>
      <x:c r="J1" s="34" t="str">
        <x:v>Watchlist principal</x:v>
      </x:c>
      <x:c r="K1" s="34" t="str">
        <x:v>Watchlist principal</x:v>
      </x:c>
      <x:c r="L1" s="34" t="str">
        <x:v>Watchlist principal</x:v>
      </x:c>
      <x:c r="M1" s="34" t="str">
        <x:v>Watchlist principal</x:v>
      </x:c>
      <x:c r="N1" s="34" t="str">
        <x:v>Watchlist principal</x:v>
      </x:c>
      <x:c r="O1" s="34" t="str">
        <x:v>Watchlist principal</x:v>
      </x:c>
      <x:c r="P1" s="34" t="str">
        <x:v>Watchlist principal</x:v>
      </x:c>
      <x:c r="Q1" s="34" t="str">
        <x:v>Watchlist principal</x:v>
      </x:c>
      <x:c r="R1" s="34" t="str">
        <x:v>Watchlist principal</x:v>
      </x:c>
      <x:c r="S1" s="34" t="str">
        <x:v>Watchlist principal</x:v>
      </x:c>
      <x:c r="T1" s="34" t="str">
        <x:v>Watchlist principal</x:v>
      </x:c>
      <x:c r="U1" s="34" t="str">
        <x:v>Watchlist principal</x:v>
      </x:c>
      <x:c r="V1" s="34" t="str">
        <x:v>Watchlist principal</x:v>
      </x:c>
      <x:c r="W1" s="34" t="str">
        <x:v>Watchlist principal</x:v>
      </x:c>
      <x:c r="X1" s="34" t="str">
        <x:v>Watchlist principal</x:v>
      </x:c>
      <x:c r="Y1" s="34" t="str">
        <x:v>Watchlist principal</x:v>
      </x:c>
      <x:c r="Z1" s="34" t="str">
        <x:v>Watchlist principal</x:v>
      </x:c>
      <x:c r="AA1" s="34" t="str">
        <x:v>Watchlist principal</x:v>
      </x:c>
      <x:c r="AB1" s="34" t="str">
        <x:v>Watchlist principal</x:v>
      </x:c>
    </x:row>
    <x:row r="2" ht="15" hidden="0" customHeight="1">
      <x:c r="A2" s="8" t="str">
        <x:v>Los campos de mercado y resultados son instantáneas con fecha; las fórmulas están en negro/verde. Las unidades de cada compañía pueden variar: consulta Fuentes_Audit antes de comparar.</x:v>
      </x:c>
      <x:c r="B2" s="8" t="str">
        <x:v>Los campos de mercado y resultados son instantáneas con fecha; las fórmulas están en negro/verde. Las unidades de cada compañía pueden variar: consulta Fuentes_Audit antes de comparar.</x:v>
      </x:c>
      <x:c r="C2" s="8" t="str">
        <x:v>Los campos de mercado y resultados son instantáneas con fecha; las fórmulas están en negro/verde. Las unidades de cada compañía pueden variar: consulta Fuentes_Audit antes de comparar.</x:v>
      </x:c>
      <x:c r="D2" s="8" t="str">
        <x:v>Los campos de mercado y resultados son instantáneas con fecha; las fórmulas están en negro/verde. Las unidades de cada compañía pueden variar: consulta Fuentes_Audit antes de comparar.</x:v>
      </x:c>
      <x:c r="E2" s="8" t="str">
        <x:v>Los campos de mercado y resultados son instantáneas con fecha; las fórmulas están en negro/verde. Las unidades de cada compañía pueden variar: consulta Fuentes_Audit antes de comparar.</x:v>
      </x:c>
      <x:c r="F2" s="8" t="str">
        <x:v>Los campos de mercado y resultados son instantáneas con fecha; las fórmulas están en negro/verde. Las unidades de cada compañía pueden variar: consulta Fuentes_Audit antes de comparar.</x:v>
      </x:c>
      <x:c r="G2" s="8" t="str">
        <x:v>Los campos de mercado y resultados son instantáneas con fecha; las fórmulas están en negro/verde. Las unidades de cada compañía pueden variar: consulta Fuentes_Audit antes de comparar.</x:v>
      </x:c>
      <x:c r="H2" s="8" t="str">
        <x:v>Los campos de mercado y resultados son instantáneas con fecha; las fórmulas están en negro/verde. Las unidades de cada compañía pueden variar: consulta Fuentes_Audit antes de comparar.</x:v>
      </x:c>
      <x:c r="I2" s="8" t="str">
        <x:v>Los campos de mercado y resultados son instantáneas con fecha; las fórmulas están en negro/verde. Las unidades de cada compañía pueden variar: consulta Fuentes_Audit antes de comparar.</x:v>
      </x:c>
      <x:c r="J2" s="8" t="str">
        <x:v>Los campos de mercado y resultados son instantáneas con fecha; las fórmulas están en negro/verde. Las unidades de cada compañía pueden variar: consulta Fuentes_Audit antes de comparar.</x:v>
      </x:c>
      <x:c r="K2" s="8" t="str">
        <x:v>Los campos de mercado y resultados son instantáneas con fecha; las fórmulas están en negro/verde. Las unidades de cada compañía pueden variar: consulta Fuentes_Audit antes de comparar.</x:v>
      </x:c>
      <x:c r="L2" s="8" t="str">
        <x:v>Los campos de mercado y resultados son instantáneas con fecha; las fórmulas están en negro/verde. Las unidades de cada compañía pueden variar: consulta Fuentes_Audit antes de comparar.</x:v>
      </x:c>
      <x:c r="M2" s="8" t="str">
        <x:v>Los campos de mercado y resultados son instantáneas con fecha; las fórmulas están en negro/verde. Las unidades de cada compañía pueden variar: consulta Fuentes_Audit antes de comparar.</x:v>
      </x:c>
      <x:c r="N2" s="8" t="str">
        <x:v>Los campos de mercado y resultados son instantáneas con fecha; las fórmulas están en negro/verde. Las unidades de cada compañía pueden variar: consulta Fuentes_Audit antes de comparar.</x:v>
      </x:c>
      <x:c r="O2" s="8" t="str">
        <x:v>Los campos de mercado y resultados son instantáneas con fecha; las fórmulas están en negro/verde. Las unidades de cada compañía pueden variar: consulta Fuentes_Audit antes de comparar.</x:v>
      </x:c>
      <x:c r="P2" s="8" t="str">
        <x:v>Los campos de mercado y resultados son instantáneas con fecha; las fórmulas están en negro/verde. Las unidades de cada compañía pueden variar: consulta Fuentes_Audit antes de comparar.</x:v>
      </x:c>
      <x:c r="Q2" s="8" t="str">
        <x:v>Los campos de mercado y resultados son instantáneas con fecha; las fórmulas están en negro/verde. Las unidades de cada compañía pueden variar: consulta Fuentes_Audit antes de comparar.</x:v>
      </x:c>
      <x:c r="R2" s="8" t="str">
        <x:v>Los campos de mercado y resultados son instantáneas con fecha; las fórmulas están en negro/verde. Las unidades de cada compañía pueden variar: consulta Fuentes_Audit antes de comparar.</x:v>
      </x:c>
      <x:c r="S2" s="8" t="str">
        <x:v>Los campos de mercado y resultados son instantáneas con fecha; las fórmulas están en negro/verde. Las unidades de cada compañía pueden variar: consulta Fuentes_Audit antes de comparar.</x:v>
      </x:c>
      <x:c r="T2" s="8" t="str">
        <x:v>Los campos de mercado y resultados son instantáneas con fecha; las fórmulas están en negro/verde. Las unidades de cada compañía pueden variar: consulta Fuentes_Audit antes de comparar.</x:v>
      </x:c>
      <x:c r="U2" s="8" t="str">
        <x:v>Los campos de mercado y resultados son instantáneas con fecha; las fórmulas están en negro/verde. Las unidades de cada compañía pueden variar: consulta Fuentes_Audit antes de comparar.</x:v>
      </x:c>
      <x:c r="V2" s="8" t="str">
        <x:v>Los campos de mercado y resultados son instantáneas con fecha; las fórmulas están en negro/verde. Las unidades de cada compañía pueden variar: consulta Fuentes_Audit antes de comparar.</x:v>
      </x:c>
      <x:c r="W2" s="8" t="str">
        <x:v>Los campos de mercado y resultados son instantáneas con fecha; las fórmulas están en negro/verde. Las unidades de cada compañía pueden variar: consulta Fuentes_Audit antes de comparar.</x:v>
      </x:c>
      <x:c r="X2" s="8" t="str">
        <x:v>Los campos de mercado y resultados son instantáneas con fecha; las fórmulas están en negro/verde. Las unidades de cada compañía pueden variar: consulta Fuentes_Audit antes de comparar.</x:v>
      </x:c>
      <x:c r="Y2" s="8" t="str">
        <x:v>Los campos de mercado y resultados son instantáneas con fecha; las fórmulas están en negro/verde. Las unidades de cada compañía pueden variar: consulta Fuentes_Audit antes de comparar.</x:v>
      </x:c>
      <x:c r="Z2" s="8" t="str">
        <x:v>Los campos de mercado y resultados son instantáneas con fecha; las fórmulas están en negro/verde. Las unidades de cada compañía pueden variar: consulta Fuentes_Audit antes de comparar.</x:v>
      </x:c>
      <x:c r="AA2" s="8" t="str">
        <x:v>Los campos de mercado y resultados son instantáneas con fecha; las fórmulas están en negro/verde. Las unidades de cada compañía pueden variar: consulta Fuentes_Audit antes de comparar.</x:v>
      </x:c>
      <x:c r="AB2" s="8" t="str">
        <x:v>Los campos de mercado y resultados son instantáneas con fecha; las fórmulas están en negro/verde. Las unidades de cada compañía pueden variar: consulta Fuentes_Audit antes de comparar.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</x:row>
    <x:row r="4" ht="60" hidden="0" customHeight="1">
      <x:c r="A4" s="20" t="str">
        <x:v>Empresa</x:v>
      </x:c>
      <x:c r="B4" s="20" t="str">
        <x:v>Ticker</x:v>
      </x:c>
      <x:c r="C4" s="20" t="str">
        <x:v>Bolsa</x:v>
      </x:c>
      <x:c r="D4" s="20" t="str">
        <x:v>Tipo / categoría Lynch</x:v>
      </x:c>
      <x:c r="E4" s="20" t="str">
        <x:v>Fecha salida</x:v>
      </x:c>
      <x:c r="F4" s="20" t="str">
        <x:v>Moneda / cuentas</x:v>
      </x:c>
      <x:c r="G4" s="20" t="str">
        <x:v>Precio</x:v>
      </x:c>
      <x:c r="H4" s="20" t="str">
        <x:v>Capitalización (m)</x:v>
      </x:c>
      <x:c r="I4" s="20" t="str">
        <x:v>PER informado</x:v>
      </x:c>
      <x:c r="J4" s="20" t="str">
        <x:v>EPS</x:v>
      </x:c>
      <x:c r="K4" s="20" t="str">
        <x:v>Dividendo anual</x:v>
      </x:c>
      <x:c r="L4" s="20" t="str">
        <x:v>Yield</x:v>
      </x:c>
      <x:c r="M4" s="20" t="str">
        <x:v>Ventas / net contribution último (m)</x:v>
      </x:c>
      <x:c r="N4" s="20" t="str">
        <x:v>Crec. ventas</x:v>
      </x:c>
      <x:c r="O4" s="20" t="str">
        <x:v>Crec. EBITDA / beneficio</x:v>
      </x:c>
      <x:c r="P4" s="20" t="str">
        <x:v>FCF último (m)</x:v>
      </x:c>
      <x:c r="Q4" s="20" t="str">
        <x:v>Deuda neta (+) / caja neta (-) (m)</x:v>
      </x:c>
      <x:c r="R4" s="20" t="str">
        <x:v>PEG heurístico*</x:v>
      </x:c>
      <x:c r="S4" s="20" t="str">
        <x:v>Catalizador</x:v>
      </x:c>
      <x:c r="T4" s="20" t="str">
        <x:v>Riesgo principal</x:v>
      </x:c>
      <x:c r="U4" s="20" t="str">
        <x:v>Próximo evento</x:v>
      </x:c>
      <x:c r="V4" s="20" t="str">
        <x:v>Veredicto Lynch</x:v>
      </x:c>
      <x:c r="W4" s="20" t="str">
        <x:v>Prioridad</x:v>
      </x:c>
      <x:c r="X4" s="20" t="str">
        <x:v>As of</x:v>
      </x:c>
      <x:c r="Y4" s="20" t="str">
        <x:v>Fuente mercado</x:v>
      </x:c>
      <x:c r="Z4" s="20" t="str">
        <x:v>Fuente resultados</x:v>
      </x:c>
      <x:c r="AA4" s="20" t="str">
        <x:v>Score Lynch</x:v>
      </x:c>
      <x:c r="AB4" s="20" t="str">
        <x:v>Estado</x:v>
      </x:c>
    </x:row>
    <x:row r="5" ht="118.80000305175781" hidden="0" customHeight="1">
      <x:c r="A5" s="58" t="str">
        <x:v>Atalaya Mining</x:v>
      </x:c>
      <x:c r="B5" s="58" t="str">
        <x:v>ATYM</x:v>
      </x:c>
      <x:c r="C5" s="58" t="str">
        <x:v>LSE</x:v>
      </x:c>
      <x:c r="D5" s="58" t="str">
        <x:v>Existente / cíclica</x:v>
      </x:c>
      <x:c r="E5" s="59"/>
      <x:c r="F5" s="58" t="str">
        <x:v>GBX / EUR</x:v>
      </x:c>
      <x:c r="G5" s="60" t="n">
        <x:v>917</x:v>
      </x:c>
      <x:c r="H5" s="61" t="n">
        <x:v>1410</x:v>
      </x:c>
      <x:c r="I5" s="62" t="n">
        <x:v>17.29</x:v>
      </x:c>
      <x:c r="J5" s="60" t="n">
        <x:v>53.03</x:v>
      </x:c>
      <x:c r="K5" s="60" t="n">
        <x:v>6.1</x:v>
      </x:c>
      <x:c r="L5" s="63" t="n">
        <x:v>0.00665</x:v>
      </x:c>
      <x:c r="M5" s="61" t="n">
        <x:v>482.9</x:v>
      </x:c>
      <x:c r="N5" s="63" t="n">
        <x:v>0.478</x:v>
      </x:c>
      <x:c r="O5" s="63" t="n">
        <x:v>1.708</x:v>
      </x:c>
      <x:c r="P5" s="61" t="n">
        <x:v>107.4</x:v>
      </x:c>
      <x:c r="Q5" s="61" t="n">
        <x:v>-122</x:v>
      </x:c>
      <x:c r="R5" s="64" t="n">
        <x:f>IF(AND(I5&gt;0,O5&gt;0),I5/(O5*100),"")</x:f>
        <x:v>0.10122950819672132</x:v>
      </x:c>
      <x:c r="S5" s="58" t="str">
        <x:v>Cobre, caja reforzada y posible Touro; comprobar conversión de caja.</x:v>
      </x:c>
      <x:c r="T5" s="58" t="str">
        <x:v>Precio del cobre, inventario, ley/recuperación, capex y ejecución.</x:v>
      </x:c>
      <x:c r="U5" s="58" t="str">
        <x:v>Próxima actualización: pendiente</x:v>
      </x:c>
      <x:c r="V5" s="58" t="str">
        <x:v>Esperar / vigilar</x:v>
      </x:c>
      <x:c r="W5" s="65" t="n">
        <x:v>2</x:v>
      </x:c>
      <x:c r="X5" s="59" t="n">
        <x:v>46238</x:v>
      </x:c>
      <x:c r="Y5" s="58" t="str">
        <x:v>ATYM-MKT</x:v>
      </x:c>
      <x:c r="Z5" s="58" t="str">
        <x:v>ATYM-FY25</x:v>
      </x:c>
      <x:c r="AA5" s="39" t="n">
        <x:f>IFERROR('Checklist_Lynch'!L5,"")</x:f>
        <x:v>11</x:v>
      </x:c>
      <x:c r="AB5" s="28" t="str">
        <x:f>IF(AA5&gt;=12,"Alta prioridad",IF(AA5&gt;=9,"Vigilancia","Revisar"))</x:f>
        <x:v>Vigilancia</x:v>
      </x:c>
    </x:row>
    <x:row r="6" ht="118.80000305175781" hidden="0" customHeight="1">
      <x:c r="A6" s="58" t="str">
        <x:v>Rio Tinto</x:v>
      </x:c>
      <x:c r="B6" s="58" t="str">
        <x:v>RIO</x:v>
      </x:c>
      <x:c r="C6" s="58" t="str">
        <x:v>LSE / ASX</x:v>
      </x:c>
      <x:c r="D6" s="58" t="str">
        <x:v>Existente / cíclica</x:v>
      </x:c>
      <x:c r="E6" s="59"/>
      <x:c r="F6" s="58" t="str">
        <x:v>GBX / USD</x:v>
      </x:c>
      <x:c r="G6" s="60" t="n">
        <x:v>7313</x:v>
      </x:c>
      <x:c r="H6" s="61" t="n">
        <x:v>118930</x:v>
      </x:c>
      <x:c r="I6" s="62" t="n">
        <x:v>16.05</x:v>
      </x:c>
      <x:c r="J6" s="60" t="n">
        <x:v>455.72</x:v>
      </x:c>
      <x:c r="K6" s="60" t="n">
        <x:v>284.57</x:v>
      </x:c>
      <x:c r="L6" s="63" t="n">
        <x:v>0.03891</x:v>
      </x:c>
      <x:c r="M6" s="61" t="n">
        <x:v>57638</x:v>
      </x:c>
      <x:c r="N6" s="63"/>
      <x:c r="O6" s="63"/>
      <x:c r="P6" s="61" t="n">
        <x:v>4025</x:v>
      </x:c>
      <x:c r="Q6" s="61" t="n">
        <x:v>14362</x:v>
      </x:c>
      <x:c r="R6" s="64" t="str">
        <x:f>IF(AND(I6&gt;0,O6&gt;0),I6/(O6*100),"")</x:f>
      </x:c>
      <x:c r="S6" s="58" t="str">
        <x:v>Cobre y producción; H1 2026 con EBITDA/FCF sólidos y disciplina de costes.</x:v>
      </x:c>
      <x:c r="T6" s="58" t="str">
        <x:v>Ciclo de materias primas, China, grandes proyectos y deuda/capex.</x:v>
      </x:c>
      <x:c r="U6" s="58" t="str">
        <x:v>Resultados FY2026: pendiente</x:v>
      </x:c>
      <x:c r="V6" s="58" t="str">
        <x:v>Compra escalonada / vigilar precio</x:v>
      </x:c>
      <x:c r="W6" s="65" t="n">
        <x:v>1</x:v>
      </x:c>
      <x:c r="X6" s="59" t="n">
        <x:v>46238</x:v>
      </x:c>
      <x:c r="Y6" s="58" t="str">
        <x:v>RIO-MKT</x:v>
      </x:c>
      <x:c r="Z6" s="58" t="str">
        <x:v>RIO-H1-26</x:v>
      </x:c>
      <x:c r="AA6" s="39" t="n">
        <x:f>IFERROR('Checklist_Lynch'!L6,"")</x:f>
        <x:v>14</x:v>
      </x:c>
      <x:c r="AB6" s="28" t="str">
        <x:f>IF(AA6&gt;=12,"Alta prioridad",IF(AA6&gt;=9,"Vigilancia","Revisar"))</x:f>
        <x:v>Alta prioridad</x:v>
      </x:c>
    </x:row>
    <x:row r="7" ht="171.60000610351562" hidden="0" customHeight="1">
      <x:c r="A7" s="58" t="str">
        <x:v>eToro</x:v>
      </x:c>
      <x:c r="B7" s="58" t="str">
        <x:v>ETOR</x:v>
      </x:c>
      <x:c r="C7" s="58" t="str">
        <x:v>NASDAQ</x:v>
      </x:c>
      <x:c r="D7" s="58" t="str">
        <x:v>Nueva / alto crecimiento</x:v>
      </x:c>
      <x:c r="E7" s="59" t="n">
        <x:v>45791</x:v>
      </x:c>
      <x:c r="F7" s="58" t="str">
        <x:v>USD</x:v>
      </x:c>
      <x:c r="G7" s="60" t="n">
        <x:v>37.06</x:v>
      </x:c>
      <x:c r="H7" s="61" t="n">
        <x:v>3010</x:v>
      </x:c>
      <x:c r="I7" s="62" t="n">
        <x:v>15.47</x:v>
      </x:c>
      <x:c r="J7" s="60" t="n">
        <x:v>2.64</x:v>
      </x:c>
      <x:c r="K7" s="60" t="n">
        <x:v>0</x:v>
      </x:c>
      <x:c r="L7" s="63" t="n">
        <x:v>0</x:v>
      </x:c>
      <x:c r="M7" s="61" t="n">
        <x:v>868</x:v>
      </x:c>
      <x:c r="N7" s="63" t="n">
        <x:v>0.1</x:v>
      </x:c>
      <x:c r="O7" s="63" t="n">
        <x:v>0.04</x:v>
      </x:c>
      <x:c r="P7" s="61"/>
      <x:c r="Q7" s="61" t="n">
        <x:v>-1300</x:v>
      </x:c>
      <x:c r="R7" s="64" t="n">
        <x:f>IF(AND(I7&gt;0,O7&gt;0),I7/(O7*100),"")</x:f>
        <x:v>3.8675</x:v>
      </x:c>
      <x:c r="S7" s="58" t="str">
        <x:v>Q1 2026: net contribution +19%, EBITDA ajustado +35%; resultados Q2 el 11-ago y recompra autorizada.</x:v>
      </x:c>
      <x:c r="T7" s="58" t="str">
        <x:v>Ciclicidad de trading/cripto, historial corto, dual class y posible volatilidad de beneficios.</x:v>
      </x:c>
      <x:c r="U7" s="58" t="str">
        <x:v>Resultados Q2: 2026-08-11</x:v>
      </x:c>
      <x:c r="V7" s="58" t="str">
        <x:v>Vigilar / posible entrada pequeña</x:v>
      </x:c>
      <x:c r="W7" s="65" t="n">
        <x:v>2</x:v>
      </x:c>
      <x:c r="X7" s="59" t="n">
        <x:v>46238</x:v>
      </x:c>
      <x:c r="Y7" s="58" t="str">
        <x:v>ETOR-MKT</x:v>
      </x:c>
      <x:c r="Z7" s="58" t="str">
        <x:v>ETOR-Q1-26</x:v>
      </x:c>
      <x:c r="AA7" s="39" t="n">
        <x:f>IFERROR('Checklist_Lynch'!L7,"")</x:f>
        <x:v>12</x:v>
      </x:c>
      <x:c r="AB7" s="28" t="str">
        <x:f>IF(AA7&gt;=12,"Alta prioridad",IF(AA7&gt;=9,"Vigilancia","Revisar"))</x:f>
        <x:v>Alta prioridad</x:v>
      </x:c>
    </x:row>
    <x:row r="8" ht="145.1999969482422" hidden="0" customHeight="1">
      <x:c r="A8" s="58" t="str">
        <x:v>HBX Group</x:v>
      </x:c>
      <x:c r="B8" s="58" t="str">
        <x:v>HBX</x:v>
      </x:c>
      <x:c r="C8" s="58" t="str">
        <x:v>BME</x:v>
      </x:c>
      <x:c r="D8" s="58" t="str">
        <x:v>Nueva / crecimiento-cíclica</x:v>
      </x:c>
      <x:c r="E8" s="59" t="n">
        <x:v>45722</x:v>
      </x:c>
      <x:c r="F8" s="58" t="str">
        <x:v>EUR</x:v>
      </x:c>
      <x:c r="G8" s="60" t="n">
        <x:v>7.71</x:v>
      </x:c>
      <x:c r="H8" s="61" t="n">
        <x:v>1860</x:v>
      </x:c>
      <x:c r="I8" s="62" t="n">
        <x:v>10.21</x:v>
      </x:c>
      <x:c r="J8" s="60" t="n">
        <x:v>0.75</x:v>
      </x:c>
      <x:c r="K8" s="60" t="n">
        <x:v>0.08</x:v>
      </x:c>
      <x:c r="L8" s="63" t="n">
        <x:v>0.0097</x:v>
      </x:c>
      <x:c r="M8" s="61" t="n">
        <x:v>309</x:v>
      </x:c>
      <x:c r="N8" s="63" t="n">
        <x:v>0.01</x:v>
      </x:c>
      <x:c r="O8" s="63" t="n">
        <x:v>0.09</x:v>
      </x:c>
      <x:c r="P8" s="61"/>
      <x:c r="Q8" s="61" t="n">
        <x:v>741</x:v>
      </x:c>
      <x:c r="R8" s="64" t="n">
        <x:f>IF(AND(I8&gt;0,O8&gt;0),I8/(O8*100),"")</x:f>
        <x:v>1.1344444444444446</x:v>
      </x:c>
      <x:c r="S8" s="58" t="str">
        <x:v>TTV H1 2026 +17% en moneda constante, recompra de 100m y cotización ~33% bajo el precio de IPO.</x:v>
      </x:c>
      <x:c r="T8" s="58" t="str">
        <x:v>Guía recortada, deuda, geopolítica de viajes y transición CEO/CFO.</x:v>
      </x:c>
      <x:c r="U8" s="58" t="str">
        <x:v>Resultados FY2026: 2026-11-25</x:v>
      </x:c>
      <x:c r="V8" s="58" t="str">
        <x:v>Vigilar / oportunidad con margen</x:v>
      </x:c>
      <x:c r="W8" s="65" t="n">
        <x:v>1</x:v>
      </x:c>
      <x:c r="X8" s="59" t="n">
        <x:v>46238</x:v>
      </x:c>
      <x:c r="Y8" s="58" t="str">
        <x:v>HBX-MKT</x:v>
      </x:c>
      <x:c r="Z8" s="58" t="str">
        <x:v>HBX-H1-26</x:v>
      </x:c>
      <x:c r="AA8" s="39" t="n">
        <x:f>IFERROR('Checklist_Lynch'!L8,"")</x:f>
        <x:v>12</x:v>
      </x:c>
      <x:c r="AB8" s="28" t="str">
        <x:f>IF(AA8&gt;=12,"Alta prioridad",IF(AA8&gt;=9,"Vigilancia","Revisar"))</x:f>
        <x:v>Alta prioridad</x:v>
      </x:c>
    </x:row>
    <x:row r="9" ht="158.39999389648438" hidden="0" customHeight="1">
      <x:c r="A9" s="58" t="str">
        <x:v>Figma</x:v>
      </x:c>
      <x:c r="B9" s="58" t="str">
        <x:v>FIG</x:v>
      </x:c>
      <x:c r="C9" s="58" t="str">
        <x:v>NYSE</x:v>
      </x:c>
      <x:c r="D9" s="58" t="str">
        <x:v>Nueva / alto crecimiento</x:v>
      </x:c>
      <x:c r="E9" s="59" t="n">
        <x:v>45869</x:v>
      </x:c>
      <x:c r="F9" s="58" t="str">
        <x:v>USD</x:v>
      </x:c>
      <x:c r="G9" s="60" t="n">
        <x:v>27.26</x:v>
      </x:c>
      <x:c r="H9" s="61" t="n">
        <x:v>14270</x:v>
      </x:c>
      <x:c r="I9" s="62" t="n">
        <x:v>-6.78</x:v>
      </x:c>
      <x:c r="J9" s="60" t="n">
        <x:v>-4.02</x:v>
      </x:c>
      <x:c r="K9" s="60" t="n">
        <x:v>0</x:v>
      </x:c>
      <x:c r="L9" s="63" t="n">
        <x:v>0</x:v>
      </x:c>
      <x:c r="M9" s="61" t="n">
        <x:v>1056</x:v>
      </x:c>
      <x:c r="N9" s="63" t="n">
        <x:v>0.41</x:v>
      </x:c>
      <x:c r="O9" s="63"/>
      <x:c r="P9" s="61" t="n">
        <x:v>242.7</x:v>
      </x:c>
      <x:c r="Q9" s="61" t="n">
        <x:v>-1700</x:v>
      </x:c>
      <x:c r="R9" s="64" t="str">
        <x:f>IF(AND(I9&gt;0,O9&gt;0),I9/(O9*100),"")</x:f>
      </x:c>
      <x:c r="S9" s="58" t="str">
        <x:v>Q2 2026 el 5-ago; guía FY26 de ingresos +35% y NDR 139% en Q1.</x:v>
      </x:c>
      <x:c r="T9" s="58" t="str">
        <x:v>Pérdida GAAP, stock-based compensation/dilución y valoración aproximada de 10x ventas FY26.</x:v>
      </x:c>
      <x:c r="U9" s="58" t="str">
        <x:v>Resultados Q2: 2026-08-05</x:v>
      </x:c>
      <x:c r="V9" s="58" t="str">
        <x:v>Esperar / no comprar antes de resultados</x:v>
      </x:c>
      <x:c r="W9" s="65" t="n">
        <x:v>3</x:v>
      </x:c>
      <x:c r="X9" s="59" t="n">
        <x:v>46238</x:v>
      </x:c>
      <x:c r="Y9" s="58" t="str">
        <x:v>FIG-MKT</x:v>
      </x:c>
      <x:c r="Z9" s="58" t="str">
        <x:v>FIG-Q1-26</x:v>
      </x:c>
      <x:c r="AA9" s="39" t="n">
        <x:f>IFERROR('Checklist_Lynch'!L9,"")</x:f>
        <x:v>10</x:v>
      </x:c>
      <x:c r="AB9" s="28" t="str">
        <x:f>IF(AA9&gt;=12,"Alta prioridad",IF(AA9&gt;=9,"Vigilancia","Revisar"))</x:f>
        <x:v>Vigilancia</x:v>
      </x:c>
    </x:row>
    <x:row r="10" ht="132" hidden="0" customHeight="1">
      <x:c r="A10" s="58" t="str">
        <x:v>JD Sports Fashion</x:v>
      </x:c>
      <x:c r="B10" s="58" t="str">
        <x:v>JD.</x:v>
      </x:c>
      <x:c r="C10" s="58" t="str">
        <x:v>LSE</x:v>
      </x:c>
      <x:c r="D10" s="58" t="str">
        <x:v>Madura / crecimiento</x:v>
      </x:c>
      <x:c r="E10" s="59"/>
      <x:c r="F10" s="58" t="str">
        <x:v>GBX / GBP</x:v>
      </x:c>
      <x:c r="G10" s="60" t="n">
        <x:v>86.18</x:v>
      </x:c>
      <x:c r="H10" s="61" t="n">
        <x:v>4120</x:v>
      </x:c>
      <x:c r="I10" s="62" t="n">
        <x:v>9.986</x:v>
      </x:c>
      <x:c r="J10" s="60" t="n">
        <x:v>8.63</x:v>
      </x:c>
      <x:c r="K10" s="60" t="n">
        <x:v>1</x:v>
      </x:c>
      <x:c r="L10" s="63" t="n">
        <x:v>0.0116</x:v>
      </x:c>
      <x:c r="M10" s="61" t="n">
        <x:v>12662</x:v>
      </x:c>
      <x:c r="N10" s="63" t="n">
        <x:v>0.105</x:v>
      </x:c>
      <x:c r="O10" s="63" t="n">
        <x:v>-0.054</x:v>
      </x:c>
      <x:c r="P10" s="61" t="n">
        <x:v>462</x:v>
      </x:c>
      <x:c r="Q10" s="61"/>
      <x:c r="R10" s="64" t="str">
        <x:f>IF(AND(I10&gt;0,O10&gt;0),I10/(O10*100),"")</x:f>
      </x:c>
      <x:c r="S10" s="58" t="str">
        <x:v>Ventas FY26 +10.5%, FCF +36%; recompra de 200m y actualización Q2 el 20-ago.</x:v>
      </x:c>
      <x:c r="T10" s="58" t="str">
        <x:v>Márgenes y EPS cayendo, consumidor/EE. UU., competencia, inventario y divisas.</x:v>
      </x:c>
      <x:c r="U10" s="58" t="str">
        <x:v>Trading update Q2: 2026-08-20</x:v>
      </x:c>
      <x:c r="V10" s="58" t="str">
        <x:v>Oportunidad condicional / vigilar márgenes</x:v>
      </x:c>
      <x:c r="W10" s="65" t="n">
        <x:v>1</x:v>
      </x:c>
      <x:c r="X10" s="59" t="n">
        <x:v>46238</x:v>
      </x:c>
      <x:c r="Y10" s="58" t="str">
        <x:v>JD-MKT</x:v>
      </x:c>
      <x:c r="Z10" s="58" t="str">
        <x:v>JD-FY26</x:v>
      </x:c>
      <x:c r="AA10" s="39" t="n">
        <x:f>IFERROR('Checklist_Lynch'!L10,"")</x:f>
        <x:v>11</x:v>
      </x:c>
      <x:c r="AB10" s="28" t="str">
        <x:f>IF(AA10&gt;=12,"Alta prioridad",IF(AA10&gt;=9,"Vigilancia","Revisar"))</x:f>
        <x:v>Vigilancia</x:v>
      </x:c>
    </x:row>
    <x:row r="11" ht="158.39999389648438" hidden="0" customHeight="1">
      <x:c r="A11" s="58" t="str">
        <x:v>PayPal</x:v>
      </x:c>
      <x:c r="B11" s="58" t="str">
        <x:v>PYPL</x:v>
      </x:c>
      <x:c r="C11" s="58" t="str">
        <x:v>NASDAQ</x:v>
      </x:c>
      <x:c r="D11" s="58" t="str">
        <x:v>Madura / recuperable</x:v>
      </x:c>
      <x:c r="E11" s="59"/>
      <x:c r="F11" s="58" t="str">
        <x:v>USD</x:v>
      </x:c>
      <x:c r="G11" s="60" t="n">
        <x:v>58.335</x:v>
      </x:c>
      <x:c r="H11" s="61" t="n">
        <x:v>51451</x:v>
      </x:c>
      <x:c r="I11" s="62" t="n">
        <x:v>11.027</x:v>
      </x:c>
      <x:c r="J11" s="60" t="n">
        <x:v>5.29</x:v>
      </x:c>
      <x:c r="K11" s="60" t="n">
        <x:v>0.56</x:v>
      </x:c>
      <x:c r="L11" s="63" t="n">
        <x:v>0.0096</x:v>
      </x:c>
      <x:c r="M11" s="61" t="n">
        <x:v>8400</x:v>
      </x:c>
      <x:c r="N11" s="63" t="n">
        <x:v>0.07</x:v>
      </x:c>
      <x:c r="O11" s="63"/>
      <x:c r="P11" s="61" t="n">
        <x:v>1700</x:v>
      </x:c>
      <x:c r="Q11" s="61"/>
      <x:c r="R11" s="64" t="str">
        <x:f>IF(AND(I11&gt;0,O11&gt;0),I11/(O11*100),"")</x:f>
      </x:c>
      <x:c r="S11" s="58" t="str">
        <x:v>FCF, recompras y dividendo; TPV Q1 2026 +11%, pero toca demostrar recuperación del checkout.</x:v>
      </x:c>
      <x:c r="T11" s="58" t="str">
        <x:v>Competencia de Apple Pay/Shopify/Affirm/Klarna, cuentas activas planas y branded checkout +2%.</x:v>
      </x:c>
      <x:c r="U11" s="58" t="str">
        <x:v>Resultados 3T26: fecha pendiente</x:v>
      </x:c>
      <x:c r="V11" s="58" t="str">
        <x:v>Oportunidad especulativa / vigilar ejecución</x:v>
      </x:c>
      <x:c r="W11" s="65" t="n">
        <x:v>2</x:v>
      </x:c>
      <x:c r="X11" s="59" t="n">
        <x:v>46238</x:v>
      </x:c>
      <x:c r="Y11" s="58" t="str">
        <x:v>PYPL-MKT</x:v>
      </x:c>
      <x:c r="Z11" s="58" t="str">
        <x:v>PYPL-Q1-26</x:v>
      </x:c>
      <x:c r="AA11" s="39" t="n">
        <x:f>IFERROR('Checklist_Lynch'!L11,"")</x:f>
        <x:v>11</x:v>
      </x:c>
      <x:c r="AB11" s="28" t="str">
        <x:f>IF(AA11&gt;=12,"Alta prioridad",IF(AA11&gt;=9,"Vigilancia","Revisar"))</x:f>
        <x:v>Vigilancia</x:v>
      </x:c>
    </x:row>
    <x:row r="12" ht="171.60000610351562" hidden="0" customHeight="1">
      <x:c r="A12" s="58" t="str">
        <x:v>Wise</x:v>
      </x:c>
      <x:c r="B12" s="58" t="str">
        <x:v>WISE</x:v>
      </x:c>
      <x:c r="C12" s="58" t="str">
        <x:v>LSE</x:v>
      </x:c>
      <x:c r="D12" s="58" t="str">
        <x:v>Alto crecimiento / calidad</x:v>
      </x:c>
      <x:c r="E12" s="59"/>
      <x:c r="F12" s="58" t="str">
        <x:v>GBX / USD</x:v>
      </x:c>
      <x:c r="G12" s="60" t="n">
        <x:v>905.6</x:v>
      </x:c>
      <x:c r="H12" s="61" t="n">
        <x:v>8940</x:v>
      </x:c>
      <x:c r="I12" s="62" t="n">
        <x:v>24.38446</x:v>
      </x:c>
      <x:c r="J12" s="60" t="n">
        <x:v>37.1384</x:v>
      </x:c>
      <x:c r="K12" s="60" t="n">
        <x:v>0</x:v>
      </x:c>
      <x:c r="L12" s="63" t="n">
        <x:v>0</x:v>
      </x:c>
      <x:c r="M12" s="61" t="n">
        <x:v>2502.8</x:v>
      </x:c>
      <x:c r="N12" s="63" t="n">
        <x:v>0.19</x:v>
      </x:c>
      <x:c r="O12" s="63" t="n">
        <x:v>-0.08</x:v>
      </x:c>
      <x:c r="P12" s="61" t="n">
        <x:v>407.6</x:v>
      </x:c>
      <x:c r="Q12" s="61" t="n">
        <x:v>-468</x:v>
      </x:c>
      <x:c r="R12" s="64" t="str">
        <x:f>IF(AND(I12&gt;0,O12&gt;0),I12/(O12*100),"")</x:f>
      </x:c>
      <x:c r="S12" s="58" t="str">
        <x:v>Volumen transfronterizo, más clientes y Wise Account; Q1 FY27 net revenue +25% y recompra prevista.</x:v>
      </x:c>
      <x:c r="T12" s="58" t="str">
        <x:v>PER exigente, take rate a la baja, tipos de interés, regulación y caja mezclada con fondos salvaguardados.</x:v>
      </x:c>
      <x:c r="U12" s="58" t="str">
        <x:v>Próxima actualización trimestral: tentativa 2026-10-15</x:v>
      </x:c>
      <x:c r="V12" s="58" t="str">
        <x:v>Vigilar / crecimiento con precio exigente</x:v>
      </x:c>
      <x:c r="W12" s="65" t="n">
        <x:v>2</x:v>
      </x:c>
      <x:c r="X12" s="59" t="n">
        <x:v>46238</x:v>
      </x:c>
      <x:c r="Y12" s="58" t="str">
        <x:v>WISE-MKT</x:v>
      </x:c>
      <x:c r="Z12" s="58" t="str">
        <x:v>WISE-Q1-27</x:v>
      </x:c>
      <x:c r="AA12" s="39" t="n">
        <x:f>IFERROR('Checklist_Lynch'!L12,"")</x:f>
        <x:v>12</x:v>
      </x:c>
      <x:c r="AB12" s="28" t="str">
        <x:f>IF(AA12&gt;=12,"Alta prioridad",IF(AA12&gt;=9,"Vigilancia","Revisar"))</x:f>
        <x:v>Alta prioridad</x:v>
      </x:c>
    </x:row>
    <x:row r="13" ht="198" hidden="0" customHeight="1">
      <x:c r="A13" s="58" t="str">
        <x:v>Auto Trader</x:v>
      </x:c>
      <x:c r="B13" s="58" t="str">
        <x:v>AUTO</x:v>
      </x:c>
      <x:c r="C13" s="58" t="str">
        <x:v>LSE</x:v>
      </x:c>
      <x:c r="D13" s="58" t="str">
        <x:v>Madura / crecimiento</x:v>
      </x:c>
      <x:c r="E13" s="59"/>
      <x:c r="F13" s="58" t="str">
        <x:v>GBX / GBP</x:v>
      </x:c>
      <x:c r="G13" s="60" t="n">
        <x:v>532.4</x:v>
      </x:c>
      <x:c r="H13" s="61" t="n">
        <x:v>4170</x:v>
      </x:c>
      <x:c r="I13" s="62" t="n">
        <x:v>15.58092</x:v>
      </x:c>
      <x:c r="J13" s="60" t="n">
        <x:v>34.17</x:v>
      </x:c>
      <x:c r="K13" s="60" t="n">
        <x:v>10.9</x:v>
      </x:c>
      <x:c r="L13" s="63" t="n">
        <x:v>0.02047</x:v>
      </x:c>
      <x:c r="M13" s="61" t="n">
        <x:v>624.3</x:v>
      </x:c>
      <x:c r="N13" s="63" t="n">
        <x:v>0.04</x:v>
      </x:c>
      <x:c r="O13" s="63" t="n">
        <x:v>0.04</x:v>
      </x:c>
      <x:c r="P13" s="61" t="n">
        <x:v>306.1</x:v>
      </x:c>
      <x:c r="Q13" s="61" t="n">
        <x:v>146.8</x:v>
      </x:c>
      <x:c r="R13" s="64" t="n">
        <x:f>IF(AND(I13&gt;0,O13&gt;0),I13/(O13*100),"")</x:f>
        <x:v>3.89523</x:v>
      </x:c>
      <x:c r="S13" s="58" t="str">
        <x:v>Marketplace dominante, ARPR +5%, margen operativo 63% y mejora de Deal Builder tras escuchar a concesionarios.</x:v>
      </x:c>
      <x:c r="T13" s="58" t="str">
        <x:v>Presión de concesionarios, menor stock pagado, confianza en Deal Builder, endeudamiento nuevo y Autorama aún en pérdidas.</x:v>
      </x:c>
      <x:c r="U13" s="58" t="str">
        <x:v>Resultados semestrales FY27: 2026-11-05</x:v>
      </x:c>
      <x:c r="V13" s="58" t="str">
        <x:v>Oportunidad condicional / vigilar Deal Builder</x:v>
      </x:c>
      <x:c r="W13" s="65" t="n">
        <x:v>1</x:v>
      </x:c>
      <x:c r="X13" s="59" t="n">
        <x:v>46238</x:v>
      </x:c>
      <x:c r="Y13" s="58" t="str">
        <x:v>AUTO-MKT</x:v>
      </x:c>
      <x:c r="Z13" s="58" t="str">
        <x:v>AUTO-FY26</x:v>
      </x:c>
      <x:c r="AA13" s="39" t="n">
        <x:f>IFERROR('Checklist_Lynch'!L13,"")</x:f>
        <x:v>13</x:v>
      </x:c>
      <x:c r="AB13" s="28" t="str">
        <x:f>IF(AA13&gt;=12,"Alta prioridad",IF(AA13&gt;=9,"Vigilancia","Revisar"))</x:f>
        <x:v>Alta prioridad</x:v>
      </x:c>
    </x:row>
    <x:row r="14" ht="184.8000030517578" hidden="0" customHeight="1">
      <x:c r="A14" s="58" t="str">
        <x:v>B&amp;M European Value Retail</x:v>
      </x:c>
      <x:c r="B14" s="58" t="str">
        <x:v>BME</x:v>
      </x:c>
      <x:c r="C14" s="58" t="str">
        <x:v>LSE</x:v>
      </x:c>
      <x:c r="D14" s="58" t="str">
        <x:v>Recuperable / cíclica</x:v>
      </x:c>
      <x:c r="E14" s="59"/>
      <x:c r="F14" s="58" t="str">
        <x:v>GBX / GBP</x:v>
      </x:c>
      <x:c r="G14" s="60" t="n">
        <x:v>225.8</x:v>
      </x:c>
      <x:c r="H14" s="61" t="n">
        <x:v>2230</x:v>
      </x:c>
      <x:c r="I14" s="62" t="n">
        <x:v>13.85</x:v>
      </x:c>
      <x:c r="J14" s="60" t="n">
        <x:v>16.3</x:v>
      </x:c>
      <x:c r="K14" s="60" t="n">
        <x:v>13.2</x:v>
      </x:c>
      <x:c r="L14" s="63" t="n">
        <x:v>0.05846</x:v>
      </x:c>
      <x:c r="M14" s="61" t="n">
        <x:v>5775</x:v>
      </x:c>
      <x:c r="N14" s="63" t="n">
        <x:v>0.036</x:v>
      </x:c>
      <x:c r="O14" s="63" t="n">
        <x:v>-0.259</x:v>
      </x:c>
      <x:c r="P14" s="61" t="n">
        <x:v>321</x:v>
      </x:c>
      <x:c r="Q14" s="61" t="n">
        <x:v>656</x:v>
      </x:c>
      <x:c r="R14" s="64" t="str">
        <x:f>IF(AND(I14&gt;0,O14&gt;0),I14/(O14*100),"")</x:f>
      </x:c>
      <x:c r="S14" s="58" t="str">
        <x:v>Plan Back to B&amp;M Basics, recuperación de margen UK y crecimiento de Francia; compras de consejeros en junio.</x:v>
      </x:c>
      <x:c r="T14" s="58" t="str">
        <x:v>Beneficio y margen muy deteriorados, LFL UK -2.3% en Q1, deuda y riesgo de trampa de dividendo.</x:v>
      </x:c>
      <x:c r="U14" s="58" t="str">
        <x:v>H1 FY27 / trading update: tentativa 2026-11-12</x:v>
      </x:c>
      <x:c r="V14" s="58" t="str">
        <x:v>Oportunidad de turnaround / esperar confirmación</x:v>
      </x:c>
      <x:c r="W14" s="65" t="n">
        <x:v>1</x:v>
      </x:c>
      <x:c r="X14" s="59" t="n">
        <x:v>46238</x:v>
      </x:c>
      <x:c r="Y14" s="58" t="str">
        <x:v>BME-MKT</x:v>
      </x:c>
      <x:c r="Z14" s="58" t="str">
        <x:v>BME-Q1-27</x:v>
      </x:c>
      <x:c r="AA14" s="39" t="n">
        <x:f>IFERROR('Checklist_Lynch'!L14,"")</x:f>
        <x:v>12</x:v>
      </x:c>
      <x:c r="AB14" s="28" t="str">
        <x:f>IF(AA14&gt;=12,"Alta prioridad",IF(AA14&gt;=9,"Vigilancia","Revisar"))</x:f>
        <x:v>Alta prioridad</x:v>
      </x:c>
    </x:row>
    <x:row r="15" ht="211.1999969482422" hidden="0" customHeight="1">
      <x:c r="A15" s="58" t="str">
        <x:v>Kainos Group</x:v>
      </x:c>
      <x:c r="B15" s="58" t="str">
        <x:v>KNOS</x:v>
      </x:c>
      <x:c r="C15" s="58" t="str">
        <x:v>LSE</x:v>
      </x:c>
      <x:c r="D15" s="58" t="str">
        <x:v>Crecimiento / nicho</x:v>
      </x:c>
      <x:c r="E15" s="59"/>
      <x:c r="F15" s="58" t="str">
        <x:v>GBX / GBP</x:v>
      </x:c>
      <x:c r="G15" s="60" t="n">
        <x:v>820</x:v>
      </x:c>
      <x:c r="H15" s="61" t="n">
        <x:v>945.42</x:v>
      </x:c>
      <x:c r="I15" s="62" t="n">
        <x:v>23.1</x:v>
      </x:c>
      <x:c r="J15" s="60" t="n">
        <x:v>35.5</x:v>
      </x:c>
      <x:c r="K15" s="60" t="n">
        <x:v>29.6</x:v>
      </x:c>
      <x:c r="L15" s="63" t="n">
        <x:v>0.0361</x:v>
      </x:c>
      <x:c r="M15" s="61" t="n">
        <x:v>431.1</x:v>
      </x:c>
      <x:c r="N15" s="63" t="n">
        <x:v>0.17</x:v>
      </x:c>
      <x:c r="O15" s="63" t="n">
        <x:v>0.02</x:v>
      </x:c>
      <x:c r="P15" s="61" t="n">
        <x:v>49.7</x:v>
      </x:c>
      <x:c r="Q15" s="61" t="n">
        <x:v>-89.1</x:v>
      </x:c>
      <x:c r="R15" s="64" t="n">
        <x:f>IF(AND(I15&gt;0,O15&gt;0),I15/(O15*100),"")</x:f>
        <x:v>11.55</x:v>
      </x:c>
      <x:c r="S15" s="58" t="str">
        <x:v>Workday Products ARR +23%, bookings +32% y backlog +18%; caja neta y recompras apoyan el nicho.</x:v>
      </x:c>
      <x:c r="T15" s="58" t="str">
        <x:v>Margen ajustado solo +2%, más contratistas/proveedores, concentración Workday y caja menor tras inversión/recompras.</x:v>
      </x:c>
      <x:c r="U15" s="58" t="str">
        <x:v>Trading update FY27: 2026-09-07</x:v>
      </x:c>
      <x:c r="V15" s="58" t="str">
        <x:v>Vigilar / posible entrada pequeña</x:v>
      </x:c>
      <x:c r="W15" s="65" t="n">
        <x:v>2</x:v>
      </x:c>
      <x:c r="X15" s="59" t="n">
        <x:v>46238</x:v>
      </x:c>
      <x:c r="Y15" s="58" t="str">
        <x:v>KNOS-MKT</x:v>
      </x:c>
      <x:c r="Z15" s="58" t="str">
        <x:v>KNOS-FY26</x:v>
      </x:c>
      <x:c r="AA15" s="39" t="n">
        <x:f>IFERROR('Checklist_Lynch'!L15,"")</x:f>
        <x:v>13</x:v>
      </x:c>
      <x:c r="AB15" s="28" t="str">
        <x:f>IF(AA15&gt;=12,"Alta prioridad",IF(AA15&gt;=9,"Vigilancia","Revisar"))</x:f>
        <x:v>Alta prioridad</x:v>
      </x:c>
    </x:row>
    <x:row r="16" ht="171.60000610351562" hidden="0" customHeight="1">
      <x:c r="A16" s="58" t="str">
        <x:v>Plus500</x:v>
      </x:c>
      <x:c r="B16" s="58" t="str">
        <x:v>PLUS</x:v>
      </x:c>
      <x:c r="C16" s="58" t="str">
        <x:v>LSE</x:v>
      </x:c>
      <x:c r="D16" s="58" t="str">
        <x:v>Madura / cíclica</x:v>
      </x:c>
      <x:c r="E16" s="59"/>
      <x:c r="F16" s="58" t="str">
        <x:v>GBX / USD</x:v>
      </x:c>
      <x:c r="G16" s="60" t="n">
        <x:v>3746</x:v>
      </x:c>
      <x:c r="H16" s="61" t="n">
        <x:v>2580</x:v>
      </x:c>
      <x:c r="I16" s="62" t="n">
        <x:v>12.83602</x:v>
      </x:c>
      <x:c r="J16" s="60" t="n">
        <x:v>291.83512</x:v>
      </x:c>
      <x:c r="K16" s="60" t="n">
        <x:v>67.01867</x:v>
      </x:c>
      <x:c r="L16" s="63" t="n">
        <x:v>0.01789</x:v>
      </x:c>
      <x:c r="M16" s="61" t="n">
        <x:v>462.9</x:v>
      </x:c>
      <x:c r="N16" s="63" t="n">
        <x:v>0.12</x:v>
      </x:c>
      <x:c r="O16" s="63" t="n">
        <x:v>0.01</x:v>
      </x:c>
      <x:c r="P16" s="61" t="n">
        <x:v>280.1</x:v>
      </x:c>
      <x:c r="Q16" s="61" t="n">
        <x:v>-850</x:v>
      </x:c>
      <x:c r="R16" s="64" t="n">
        <x:f>IF(AND(I16&gt;0,O16&gt;0),I16/(O16*100),"")</x:f>
        <x:v>12.83602</x:v>
      </x:c>
      <x:c r="S16" s="58" t="str">
        <x:v>Resultados H1 el 10-ago, retorno de capital, crecimiento de futuros/prediction markets y caja &gt;850m.</x:v>
      </x:c>
      <x:c r="T16" s="58" t="str">
        <x:v>CFD y volatilidad, regulación, margen EBITDA estancado, clientes FY25 -5% y mayor peso de negocios no-OTC.</x:v>
      </x:c>
      <x:c r="U16" s="58" t="str">
        <x:v>Resultados H1 2026: 2026-08-10</x:v>
      </x:c>
      <x:c r="V16" s="58" t="str">
        <x:v>Oportunidad especulativa / esperar H1</x:v>
      </x:c>
      <x:c r="W16" s="65" t="n">
        <x:v>2</x:v>
      </x:c>
      <x:c r="X16" s="59" t="n">
        <x:v>46238</x:v>
      </x:c>
      <x:c r="Y16" s="58" t="str">
        <x:v>PLUS-MKT</x:v>
      </x:c>
      <x:c r="Z16" s="58" t="str">
        <x:v>PLUS-H1-26</x:v>
      </x:c>
      <x:c r="AA16" s="39" t="n">
        <x:f>IFERROR('Checklist_Lynch'!L16,"")</x:f>
        <x:v>14</x:v>
      </x:c>
      <x:c r="AB16" s="28" t="str">
        <x:f>IF(AA16&gt;=12,"Alta prioridad",IF(AA16&gt;=9,"Vigilancia","Revisar"))</x:f>
        <x:v>Alta prioridad</x:v>
      </x:c>
    </x:row>
    <x:row r="17" ht="15" hidden="0" customHeight="1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  <x:c r="AA17" s="33"/>
      <x:c r="AB17" s="33"/>
    </x:row>
    <x:row r="18" ht="15" hidden="0" customHeight="1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  <x:c r="AA18" s="33"/>
      <x:c r="AB18" s="33"/>
    </x:row>
    <x:row r="19" ht="15" hidden="0" customHeight="1">
      <x:c r="A19" s="36" t="str">
        <x:v>Notas de uso</x:v>
      </x:c>
      <x:c r="B19" s="36" t="str">
        <x:v>Notas de uso</x:v>
      </x:c>
      <x:c r="C19" s="36" t="str">
        <x:v>Notas de uso</x:v>
      </x:c>
      <x:c r="D19" s="36" t="str">
        <x:v>Notas de uso</x:v>
      </x:c>
      <x:c r="E19" s="36" t="str">
        <x:v>Notas de uso</x:v>
      </x:c>
      <x:c r="F19" s="36" t="str">
        <x:v>Notas de uso</x:v>
      </x:c>
      <x:c r="G19" s="36" t="str">
        <x:v>Notas de uso</x:v>
      </x:c>
      <x:c r="H19" s="36" t="str">
        <x:v>Notas de uso</x:v>
      </x:c>
      <x:c r="I19" s="36" t="str">
        <x:v>Notas de uso</x:v>
      </x:c>
      <x:c r="J19" s="36" t="str">
        <x:v>Notas de uso</x:v>
      </x:c>
      <x:c r="K19" s="36" t="str">
        <x:v>Notas de uso</x:v>
      </x:c>
      <x:c r="L19" s="36" t="str">
        <x:v>Notas de uso</x:v>
      </x:c>
      <x:c r="M19" s="36" t="str">
        <x:v>Notas de uso</x:v>
      </x:c>
      <x:c r="N19" s="36" t="str">
        <x:v>Notas de uso</x:v>
      </x:c>
      <x:c r="O19" s="36" t="str">
        <x:v>Notas de uso</x:v>
      </x:c>
      <x:c r="P19" s="36" t="str">
        <x:v>Notas de uso</x:v>
      </x:c>
      <x:c r="Q19" s="36" t="str">
        <x:v>Notas de uso</x:v>
      </x:c>
      <x:c r="R19" s="36" t="str">
        <x:v>Notas de uso</x:v>
      </x:c>
      <x:c r="S19" s="36" t="str">
        <x:v>Notas de uso</x:v>
      </x:c>
      <x:c r="T19" s="36" t="str">
        <x:v>Notas de uso</x:v>
      </x:c>
      <x:c r="U19" s="36" t="str">
        <x:v>Notas de uso</x:v>
      </x:c>
      <x:c r="V19" s="36" t="str">
        <x:v>Notas de uso</x:v>
      </x:c>
      <x:c r="W19" s="36" t="str">
        <x:v>Notas de uso</x:v>
      </x:c>
      <x:c r="X19" s="36" t="str">
        <x:v>Notas de uso</x:v>
      </x:c>
      <x:c r="Y19" s="36" t="str">
        <x:v>Notas de uso</x:v>
      </x:c>
      <x:c r="Z19" s="36" t="str">
        <x:v>Notas de uso</x:v>
      </x:c>
      <x:c r="AA19" s="36" t="str">
        <x:v>Notas de uso</x:v>
      </x:c>
      <x:c r="AB19" s="36" t="str">
        <x:v>Notas de uso</x:v>
      </x:c>
    </x:row>
    <x:row r="20" ht="26.399999618530273" hidden="0" customHeight="1">
      <x:c r="A20" s="35" t="str">
        <x:v>* PEG heurístico</x:v>
      </x:c>
      <x:c r="B20" s="33" t="str">
        <x:v>PER dividido por el crecimiento porcentual del EBITDA/beneficio. No usar con pérdidas, cíclicas, periodos mezclados o divisas distintas.</x:v>
      </x:c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  <x:c r="AA20" s="33"/>
      <x:c r="AB20" s="33"/>
    </x:row>
    <x:row r="21" ht="26.399999618530273" hidden="0" customHeight="1">
      <x:c r="A21" s="35" t="str">
        <x:v>Datos mixtos</x:v>
      </x:c>
      <x:c r="B21" s="33" t="str">
        <x:v>Para no inventar, algunas filas usan FY2025/FY2026 y otras el último trimestre disponible. La hoja Historial separa los periodos.</x:v>
      </x:c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  <x:c r="AA21" s="33"/>
      <x:c r="AB21" s="33"/>
    </x:row>
    <x:row r="22" ht="15" hidden="0" customHeight="1">
      <x:c r="A22" s="35" t="str">
        <x:v>Estado</x:v>
      </x:c>
      <x:c r="B22" s="33" t="str">
        <x:v>La prioridad es una señal de trabajo, no una orden de compra. Define precio de entrada y condición de invalidación en Checklist_Lynch y Seguimiento.</x:v>
      </x:c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  <x:c r="AA22" s="33"/>
      <x:c r="AB22" s="33"/>
    </x:row>
  </x:sheetData>
  <x:mergeCells>
    <x:mergeCell ref="A1:AB1"/>
    <x:mergeCell ref="A2:AB2"/>
    <x:mergeCell ref="A19:AB19"/>
    <x:mergeCell ref="B20:AB20"/>
    <x:mergeCell ref="B21:AB21"/>
    <x:mergeCell ref="B22:AB22"/>
  </x:mergeCells>
  <x:conditionalFormatting sqref="A5:AB16">
    <x:cfRule type="containsText" dxfId="0" priority="1" operator="containsText" text="Alta prioridad"/>
    <x:cfRule type="containsText" dxfId="1" priority="2" operator="containsText" text="Esperar"/>
  </x:conditionalFormatting>
  <x:pageMargins left="0.7" right="0.7" top="0.75" bottom="0.75" header="0.3" footer="0.3"/>
  <x:tableParts count="1">
    <x:tablePart xmlns:r="http://schemas.openxmlformats.org/officeDocument/2006/relationships" r:id="R56876d359aef4d6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9" hidden="0" customWidth="1"/>
    <x:col min="13" max="13" width="14" hidden="0" customWidth="1"/>
    <x:col min="14" max="14" width="48" hidden="0" customWidth="1"/>
    <x:col min="15" max="15" width="12" hidden="0" customWidth="1"/>
  </x:cols>
  <x:sheetData>
    <x:row r="1" ht="19.200000762939453" hidden="0" customHeight="1">
      <x:c r="A1" s="34" t="str">
        <x:v>Checklist tipo Peter Lynch</x:v>
      </x:c>
      <x:c r="B1" s="34" t="str">
        <x:v>Checklist tipo Peter Lynch</x:v>
      </x:c>
      <x:c r="C1" s="34" t="str">
        <x:v>Checklist tipo Peter Lynch</x:v>
      </x:c>
      <x:c r="D1" s="34" t="str">
        <x:v>Checklist tipo Peter Lynch</x:v>
      </x:c>
      <x:c r="E1" s="34" t="str">
        <x:v>Checklist tipo Peter Lynch</x:v>
      </x:c>
      <x:c r="F1" s="34" t="str">
        <x:v>Checklist tipo Peter Lynch</x:v>
      </x:c>
      <x:c r="G1" s="34" t="str">
        <x:v>Checklist tipo Peter Lynch</x:v>
      </x:c>
      <x:c r="H1" s="34" t="str">
        <x:v>Checklist tipo Peter Lynch</x:v>
      </x:c>
      <x:c r="I1" s="34" t="str">
        <x:v>Checklist tipo Peter Lynch</x:v>
      </x:c>
      <x:c r="J1" s="34" t="str">
        <x:v>Checklist tipo Peter Lynch</x:v>
      </x:c>
      <x:c r="K1" s="34" t="str">
        <x:v>Checklist tipo Peter Lynch</x:v>
      </x:c>
      <x:c r="L1" s="34" t="str">
        <x:v>Checklist tipo Peter Lynch</x:v>
      </x:c>
      <x:c r="M1" s="34" t="str">
        <x:v>Checklist tipo Peter Lynch</x:v>
      </x:c>
      <x:c r="N1" s="34" t="str">
        <x:v>Checklist tipo Peter Lynch</x:v>
      </x:c>
      <x:c r="O1" s="34" t="str">
        <x:v>Checklist tipo Peter Lynch</x:v>
      </x:c>
    </x:row>
    <x:row r="2" ht="15" hidden="0" customHeight="1">
      <x:c r="A2" s="8" t="str">
        <x:v>Puntúa 0–2 salvo donde se indique 0–1. Esta escala es una herramienta propia para obligarnos a explicitar la tesis; no es una escala publicada por Lynch.</x:v>
      </x:c>
      <x:c r="B2" s="8" t="str">
        <x:v>Puntúa 0–2 salvo donde se indique 0–1. Esta escala es una herramienta propia para obligarnos a explicitar la tesis; no es una escala publicada por Lynch.</x:v>
      </x:c>
      <x:c r="C2" s="8" t="str">
        <x:v>Puntúa 0–2 salvo donde se indique 0–1. Esta escala es una herramienta propia para obligarnos a explicitar la tesis; no es una escala publicada por Lynch.</x:v>
      </x:c>
      <x:c r="D2" s="8" t="str">
        <x:v>Puntúa 0–2 salvo donde se indique 0–1. Esta escala es una herramienta propia para obligarnos a explicitar la tesis; no es una escala publicada por Lynch.</x:v>
      </x:c>
      <x:c r="E2" s="8" t="str">
        <x:v>Puntúa 0–2 salvo donde se indique 0–1. Esta escala es una herramienta propia para obligarnos a explicitar la tesis; no es una escala publicada por Lynch.</x:v>
      </x:c>
      <x:c r="F2" s="8" t="str">
        <x:v>Puntúa 0–2 salvo donde se indique 0–1. Esta escala es una herramienta propia para obligarnos a explicitar la tesis; no es una escala publicada por Lynch.</x:v>
      </x:c>
      <x:c r="G2" s="8" t="str">
        <x:v>Puntúa 0–2 salvo donde se indique 0–1. Esta escala es una herramienta propia para obligarnos a explicitar la tesis; no es una escala publicada por Lynch.</x:v>
      </x:c>
      <x:c r="H2" s="8" t="str">
        <x:v>Puntúa 0–2 salvo donde se indique 0–1. Esta escala es una herramienta propia para obligarnos a explicitar la tesis; no es una escala publicada por Lynch.</x:v>
      </x:c>
      <x:c r="I2" s="8" t="str">
        <x:v>Puntúa 0–2 salvo donde se indique 0–1. Esta escala es una herramienta propia para obligarnos a explicitar la tesis; no es una escala publicada por Lynch.</x:v>
      </x:c>
      <x:c r="J2" s="8" t="str">
        <x:v>Puntúa 0–2 salvo donde se indique 0–1. Esta escala es una herramienta propia para obligarnos a explicitar la tesis; no es una escala publicada por Lynch.</x:v>
      </x:c>
      <x:c r="K2" s="8" t="str">
        <x:v>Puntúa 0–2 salvo donde se indique 0–1. Esta escala es una herramienta propia para obligarnos a explicitar la tesis; no es una escala publicada por Lynch.</x:v>
      </x:c>
      <x:c r="L2" s="8" t="str">
        <x:v>Puntúa 0–2 salvo donde se indique 0–1. Esta escala es una herramienta propia para obligarnos a explicitar la tesis; no es una escala publicada por Lynch.</x:v>
      </x:c>
      <x:c r="M2" s="8" t="str">
        <x:v>Puntúa 0–2 salvo donde se indique 0–1. Esta escala es una herramienta propia para obligarnos a explicitar la tesis; no es una escala publicada por Lynch.</x:v>
      </x:c>
      <x:c r="N2" s="8" t="str">
        <x:v>Puntúa 0–2 salvo donde se indique 0–1. Esta escala es una herramienta propia para obligarnos a explicitar la tesis; no es una escala publicada por Lynch.</x:v>
      </x:c>
      <x:c r="O2" s="8" t="str">
        <x:v>Puntúa 0–2 salvo donde se indique 0–1. Esta escala es una herramienta propia para obligarnos a explicitar la tesis; no es una escala publicada por Lynch.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</x:row>
    <x:row r="4" ht="36" hidden="0" customHeight="1">
      <x:c r="A4" s="20" t="str">
        <x:v>Empresa</x:v>
      </x:c>
      <x:c r="B4" s="20" t="str">
        <x:v>Ticker</x:v>
      </x:c>
      <x:c r="C4" s="20" t="str">
        <x:v>Negocio comprensible (0-2)</x:v>
      </x:c>
      <x:c r="D4" s="20" t="str">
        <x:v>Historia / catalizador (0-2)</x:v>
      </x:c>
      <x:c r="E4" s="20" t="str">
        <x:v>Crecimiento (0-2)</x:v>
      </x:c>
      <x:c r="F4" s="20" t="str">
        <x:v>Valoración (0-2)</x:v>
      </x:c>
      <x:c r="G4" s="20" t="str">
        <x:v>Balance / caja (0-2)</x:v>
      </x:c>
      <x:c r="H4" s="20" t="str">
        <x:v>Dividendo / recompra (0-1)</x:v>
      </x:c>
      <x:c r="I4" s="20" t="str">
        <x:v>Insiders / ownership (0-1)</x:v>
      </x:c>
      <x:c r="J4" s="20" t="str">
        <x:v>Riesgos manejables (0-2)</x:v>
      </x:c>
      <x:c r="K4" s="20" t="str">
        <x:v>Evidencia / disciplina (0-2)</x:v>
      </x:c>
      <x:c r="L4" s="20" t="str">
        <x:v>Total</x:v>
      </x:c>
      <x:c r="M4" s="20" t="str">
        <x:v>Veredicto</x:v>
      </x:c>
      <x:c r="N4" s="20" t="str">
        <x:v>Qué falta comprobar</x:v>
      </x:c>
      <x:c r="O4" s="20" t="str">
        <x:v>Última revisión</x:v>
      </x:c>
    </x:row>
    <x:row r="5" ht="92.4000015258789" hidden="0" customHeight="1">
      <x:c r="A5" s="58" t="str">
        <x:v>Atalaya Mining</x:v>
      </x:c>
      <x:c r="B5" s="58" t="str">
        <x:v>ATYM</x:v>
      </x:c>
      <x:c r="C5" s="75" t="n">
        <x:v>2</x:v>
      </x:c>
      <x:c r="D5" s="75" t="n">
        <x:v>1</x:v>
      </x:c>
      <x:c r="E5" s="75" t="n">
        <x:v>2</x:v>
      </x:c>
      <x:c r="F5" s="75" t="n">
        <x:v>1</x:v>
      </x:c>
      <x:c r="G5" s="75" t="n">
        <x:v>2</x:v>
      </x:c>
      <x:c r="H5" s="75" t="n">
        <x:v>0</x:v>
      </x:c>
      <x:c r="I5" s="75" t="n">
        <x:v>1</x:v>
      </x:c>
      <x:c r="J5" s="75" t="n">
        <x:v>1</x:v>
      </x:c>
      <x:c r="K5" s="75" t="n">
        <x:v>1</x:v>
      </x:c>
      <x:c r="L5" s="76" t="n">
        <x:f>SUM(C5:K5)</x:f>
        <x:v>11</x:v>
      </x:c>
      <x:c r="M5" s="28" t="str">
        <x:f>IF(L5&gt;=12,"Candidato",IF(L5&gt;=9,"Vigilancia","Revisar"))</x:f>
        <x:v>Vigilancia</x:v>
      </x:c>
      <x:c r="N5" s="58" t="str">
        <x:v>Guía de producción, Touro, coste AISC y conversión de caja.</x:v>
      </x:c>
      <x:c r="O5" s="59" t="n">
        <x:v>46238</x:v>
      </x:c>
    </x:row>
    <x:row r="6" ht="105.5999984741211" hidden="0" customHeight="1">
      <x:c r="A6" s="58" t="str">
        <x:v>Rio Tinto</x:v>
      </x:c>
      <x:c r="B6" s="58" t="str">
        <x:v>RIO</x:v>
      </x:c>
      <x:c r="C6" s="75" t="n">
        <x:v>2</x:v>
      </x:c>
      <x:c r="D6" s="75" t="n">
        <x:v>2</x:v>
      </x:c>
      <x:c r="E6" s="75" t="n">
        <x:v>1</x:v>
      </x:c>
      <x:c r="F6" s="75" t="n">
        <x:v>2</x:v>
      </x:c>
      <x:c r="G6" s="75" t="n">
        <x:v>2</x:v>
      </x:c>
      <x:c r="H6" s="75" t="n">
        <x:v>1</x:v>
      </x:c>
      <x:c r="I6" s="75" t="n">
        <x:v>1</x:v>
      </x:c>
      <x:c r="J6" s="75" t="n">
        <x:v>1</x:v>
      </x:c>
      <x:c r="K6" s="75" t="n">
        <x:v>2</x:v>
      </x:c>
      <x:c r="L6" s="76" t="n">
        <x:f>SUM(C6:K6)</x:f>
        <x:v>14</x:v>
      </x:c>
      <x:c r="M6" s="28" t="str">
        <x:f>IF(L6&gt;=12,"Candidato",IF(L6&gt;=9,"Vigilancia","Revisar"))</x:f>
        <x:v>Candidato</x:v>
      </x:c>
      <x:c r="N6" s="58" t="str">
        <x:v>Sensibilidad a cobre/aluminio, capex de grandes proyectos y China.</x:v>
      </x:c>
      <x:c r="O6" s="59" t="n">
        <x:v>46238</x:v>
      </x:c>
    </x:row>
    <x:row r="7" ht="105.5999984741211" hidden="0" customHeight="1">
      <x:c r="A7" s="58" t="str">
        <x:v>eToro</x:v>
      </x:c>
      <x:c r="B7" s="58" t="str">
        <x:v>ETOR</x:v>
      </x:c>
      <x:c r="C7" s="75" t="n">
        <x:v>2</x:v>
      </x:c>
      <x:c r="D7" s="75" t="n">
        <x:v>2</x:v>
      </x:c>
      <x:c r="E7" s="75" t="n">
        <x:v>2</x:v>
      </x:c>
      <x:c r="F7" s="75" t="n">
        <x:v>1</x:v>
      </x:c>
      <x:c r="G7" s="75" t="n">
        <x:v>2</x:v>
      </x:c>
      <x:c r="H7" s="75" t="n">
        <x:v>1</x:v>
      </x:c>
      <x:c r="I7" s="75" t="n">
        <x:v>0</x:v>
      </x:c>
      <x:c r="J7" s="75" t="n">
        <x:v>1</x:v>
      </x:c>
      <x:c r="K7" s="75" t="n">
        <x:v>1</x:v>
      </x:c>
      <x:c r="L7" s="76" t="n">
        <x:f>SUM(C7:K7)</x:f>
        <x:v>12</x:v>
      </x:c>
      <x:c r="M7" s="28" t="str">
        <x:f>IF(L7&gt;=12,"Candidato",IF(L7&gt;=9,"Vigilancia","Revisar"))</x:f>
        <x:v>Candidato</x:v>
      </x:c>
      <x:c r="N7" s="58" t="str">
        <x:v>Resultados Q2, calidad de ingresos, lock-ups/dual class y sensibilidad cripto.</x:v>
      </x:c>
      <x:c r="O7" s="59" t="n">
        <x:v>46238</x:v>
      </x:c>
    </x:row>
    <x:row r="8" ht="105.5999984741211" hidden="0" customHeight="1">
      <x:c r="A8" s="58" t="str">
        <x:v>HBX Group</x:v>
      </x:c>
      <x:c r="B8" s="58" t="str">
        <x:v>HBX</x:v>
      </x:c>
      <x:c r="C8" s="75" t="n">
        <x:v>2</x:v>
      </x:c>
      <x:c r="D8" s="75" t="n">
        <x:v>2</x:v>
      </x:c>
      <x:c r="E8" s="75" t="n">
        <x:v>1</x:v>
      </x:c>
      <x:c r="F8" s="75" t="n">
        <x:v>2</x:v>
      </x:c>
      <x:c r="G8" s="75" t="n">
        <x:v>1</x:v>
      </x:c>
      <x:c r="H8" s="75" t="n">
        <x:v>1</x:v>
      </x:c>
      <x:c r="I8" s="75" t="n">
        <x:v>1</x:v>
      </x:c>
      <x:c r="J8" s="75" t="n">
        <x:v>1</x:v>
      </x:c>
      <x:c r="K8" s="75" t="n">
        <x:v>1</x:v>
      </x:c>
      <x:c r="L8" s="76" t="n">
        <x:f>SUM(C8:K8)</x:f>
        <x:v>12</x:v>
      </x:c>
      <x:c r="M8" s="28" t="str">
        <x:f>IF(L8&gt;=12,"Candidato",IF(L8&gt;=9,"Vigilancia","Revisar"))</x:f>
        <x:v>Candidato</x:v>
      </x:c>
      <x:c r="N8" s="58" t="str">
        <x:v>Deuda neta, nueva guía, transición de CEO y conversión a caja.</x:v>
      </x:c>
      <x:c r="O8" s="59" t="n">
        <x:v>46238</x:v>
      </x:c>
    </x:row>
    <x:row r="9" ht="118.80000305175781" hidden="0" customHeight="1">
      <x:c r="A9" s="58" t="str">
        <x:v>Figma</x:v>
      </x:c>
      <x:c r="B9" s="58" t="str">
        <x:v>FIG</x:v>
      </x:c>
      <x:c r="C9" s="75" t="n">
        <x:v>2</x:v>
      </x:c>
      <x:c r="D9" s="75" t="n">
        <x:v>2</x:v>
      </x:c>
      <x:c r="E9" s="75" t="n">
        <x:v>2</x:v>
      </x:c>
      <x:c r="F9" s="75" t="n">
        <x:v>0</x:v>
      </x:c>
      <x:c r="G9" s="75" t="n">
        <x:v>2</x:v>
      </x:c>
      <x:c r="H9" s="75" t="n">
        <x:v>0</x:v>
      </x:c>
      <x:c r="I9" s="75" t="n">
        <x:v>0</x:v>
      </x:c>
      <x:c r="J9" s="75" t="n">
        <x:v>1</x:v>
      </x:c>
      <x:c r="K9" s="75" t="n">
        <x:v>1</x:v>
      </x:c>
      <x:c r="L9" s="76" t="n">
        <x:f>SUM(C9:K9)</x:f>
        <x:v>10</x:v>
      </x:c>
      <x:c r="M9" s="28" t="str">
        <x:f>IF(L9&gt;=12,"Candidato",IF(L9&gt;=9,"Vigilancia","Revisar"))</x:f>
        <x:v>Vigilancia</x:v>
      </x:c>
      <x:c r="N9" s="58" t="str">
        <x:v>Q2, SBC/dilución, retención y valoración sobre FCF normalizado.</x:v>
      </x:c>
      <x:c r="O9" s="59" t="n">
        <x:v>46238</x:v>
      </x:c>
    </x:row>
    <x:row r="10" ht="105.5999984741211" hidden="0" customHeight="1">
      <x:c r="A10" s="58" t="str">
        <x:v>JD Sports Fashion</x:v>
      </x:c>
      <x:c r="B10" s="58" t="str">
        <x:v>JD.</x:v>
      </x:c>
      <x:c r="C10" s="75" t="n">
        <x:v>2</x:v>
      </x:c>
      <x:c r="D10" s="75" t="n">
        <x:v>1</x:v>
      </x:c>
      <x:c r="E10" s="75" t="n">
        <x:v>1</x:v>
      </x:c>
      <x:c r="F10" s="75" t="n">
        <x:v>2</x:v>
      </x:c>
      <x:c r="G10" s="75" t="n">
        <x:v>1</x:v>
      </x:c>
      <x:c r="H10" s="75" t="n">
        <x:v>1</x:v>
      </x:c>
      <x:c r="I10" s="75" t="n">
        <x:v>1</x:v>
      </x:c>
      <x:c r="J10" s="75" t="n">
        <x:v>1</x:v>
      </x:c>
      <x:c r="K10" s="75" t="n">
        <x:v>1</x:v>
      </x:c>
      <x:c r="L10" s="76" t="n">
        <x:f>SUM(C10:K10)</x:f>
        <x:v>11</x:v>
      </x:c>
      <x:c r="M10" s="28" t="str">
        <x:f>IF(L10&gt;=12,"Candidato",IF(L10&gt;=9,"Vigilancia","Revisar"))</x:f>
        <x:v>Vigilancia</x:v>
      </x:c>
      <x:c r="N10" s="58" t="str">
        <x:v>Márgenes, LFL en EE. UU., inventario y efecto de recompras sobre EPS.</x:v>
      </x:c>
      <x:c r="O10" s="59" t="n">
        <x:v>46238</x:v>
      </x:c>
    </x:row>
    <x:row r="11" ht="118.80000305175781" hidden="0" customHeight="1">
      <x:c r="A11" s="58" t="str">
        <x:v>PayPal</x:v>
      </x:c>
      <x:c r="B11" s="58" t="str">
        <x:v>PYPL</x:v>
      </x:c>
      <x:c r="C11" s="75" t="n">
        <x:v>2</x:v>
      </x:c>
      <x:c r="D11" s="75" t="n">
        <x:v>1</x:v>
      </x:c>
      <x:c r="E11" s="75" t="n">
        <x:v>1</x:v>
      </x:c>
      <x:c r="F11" s="75" t="n">
        <x:v>2</x:v>
      </x:c>
      <x:c r="G11" s="75" t="n">
        <x:v>2</x:v>
      </x:c>
      <x:c r="H11" s="75" t="n">
        <x:v>1</x:v>
      </x:c>
      <x:c r="I11" s="75" t="n">
        <x:v>0</x:v>
      </x:c>
      <x:c r="J11" s="75" t="n">
        <x:v>1</x:v>
      </x:c>
      <x:c r="K11" s="75" t="n">
        <x:v>1</x:v>
      </x:c>
      <x:c r="L11" s="76" t="n">
        <x:f>SUM(C11:K11)</x:f>
        <x:v>11</x:v>
      </x:c>
      <x:c r="M11" s="28" t="str">
        <x:f>IF(L11&gt;=12,"Candidato",IF(L11&gt;=9,"Vigilancia","Revisar"))</x:f>
        <x:v>Vigilancia</x:v>
      </x:c>
      <x:c r="N11" s="58" t="str">
        <x:v>Checkout branded, cuentas activas, nueva estrategia y competencia.</x:v>
      </x:c>
      <x:c r="O11" s="59" t="n">
        <x:v>46238</x:v>
      </x:c>
    </x:row>
    <x:row r="12" ht="132" hidden="0" customHeight="1">
      <x:c r="A12" s="58" t="str">
        <x:v>Wise</x:v>
      </x:c>
      <x:c r="B12" s="58" t="str">
        <x:v>WISE</x:v>
      </x:c>
      <x:c r="C12" s="75" t="n">
        <x:v>2</x:v>
      </x:c>
      <x:c r="D12" s="75" t="n">
        <x:v>2</x:v>
      </x:c>
      <x:c r="E12" s="75" t="n">
        <x:v>2</x:v>
      </x:c>
      <x:c r="F12" s="75" t="n">
        <x:v>1</x:v>
      </x:c>
      <x:c r="G12" s="75" t="n">
        <x:v>2</x:v>
      </x:c>
      <x:c r="H12" s="75" t="n">
        <x:v>0</x:v>
      </x:c>
      <x:c r="I12" s="75" t="n">
        <x:v>1</x:v>
      </x:c>
      <x:c r="J12" s="75" t="n">
        <x:v>1</x:v>
      </x:c>
      <x:c r="K12" s="75" t="n">
        <x:v>1</x:v>
      </x:c>
      <x:c r="L12" s="76" t="n">
        <x:f>SUM(C12:K12)</x:f>
        <x:v>12</x:v>
      </x:c>
      <x:c r="M12" s="28" t="str">
        <x:f>IF(L12&gt;=12,"Candidato",IF(L12&gt;=9,"Vigilancia","Revisar"))</x:f>
        <x:v>Candidato</x:v>
      </x:c>
      <x:c r="N12" s="58" t="str">
        <x:v>Q2 FY27, take rate, margen antes de impuestos, caja utilizable y regulación.</x:v>
      </x:c>
      <x:c r="O12" s="59" t="n">
        <x:v>46238</x:v>
      </x:c>
    </x:row>
    <x:row r="13" ht="118.80000305175781" hidden="0" customHeight="1">
      <x:c r="A13" s="58" t="str">
        <x:v>Auto Trader</x:v>
      </x:c>
      <x:c r="B13" s="58" t="str">
        <x:v>AUTO</x:v>
      </x:c>
      <x:c r="C13" s="75" t="n">
        <x:v>2</x:v>
      </x:c>
      <x:c r="D13" s="75" t="n">
        <x:v>2</x:v>
      </x:c>
      <x:c r="E13" s="75" t="n">
        <x:v>1</x:v>
      </x:c>
      <x:c r="F13" s="75" t="n">
        <x:v>2</x:v>
      </x:c>
      <x:c r="G13" s="75" t="n">
        <x:v>1</x:v>
      </x:c>
      <x:c r="H13" s="75" t="n">
        <x:v>1</x:v>
      </x:c>
      <x:c r="I13" s="75" t="n">
        <x:v>1</x:v>
      </x:c>
      <x:c r="J13" s="75" t="n">
        <x:v>1</x:v>
      </x:c>
      <x:c r="K13" s="75" t="n">
        <x:v>2</x:v>
      </x:c>
      <x:c r="L13" s="76" t="n">
        <x:f>SUM(C13:K13)</x:f>
        <x:v>13</x:v>
      </x:c>
      <x:c r="M13" s="28" t="str">
        <x:f>IF(L13&gt;=12,"Candidato",IF(L13&gt;=9,"Vigilancia","Revisar"))</x:f>
        <x:v>Candidato</x:v>
      </x:c>
      <x:c r="N13" s="58" t="str">
        <x:v>Deal Builder, stock pagado, ARPR, concesionarios y deuda neta.</x:v>
      </x:c>
      <x:c r="O13" s="59" t="n">
        <x:v>46238</x:v>
      </x:c>
    </x:row>
    <x:row r="14" ht="132" hidden="0" customHeight="1">
      <x:c r="A14" s="58" t="str">
        <x:v>B&amp;M European Value Retail</x:v>
      </x:c>
      <x:c r="B14" s="58" t="str">
        <x:v>BME</x:v>
      </x:c>
      <x:c r="C14" s="75" t="n">
        <x:v>2</x:v>
      </x:c>
      <x:c r="D14" s="75" t="n">
        <x:v>2</x:v>
      </x:c>
      <x:c r="E14" s="75" t="n">
        <x:v>1</x:v>
      </x:c>
      <x:c r="F14" s="75" t="n">
        <x:v>2</x:v>
      </x:c>
      <x:c r="G14" s="75" t="n">
        <x:v>1</x:v>
      </x:c>
      <x:c r="H14" s="75" t="n">
        <x:v>1</x:v>
      </x:c>
      <x:c r="I14" s="75" t="n">
        <x:v>1</x:v>
      </x:c>
      <x:c r="J14" s="75" t="n">
        <x:v>1</x:v>
      </x:c>
      <x:c r="K14" s="75" t="n">
        <x:v>1</x:v>
      </x:c>
      <x:c r="L14" s="76" t="n">
        <x:f>SUM(C14:K14)</x:f>
        <x:v>12</x:v>
      </x:c>
      <x:c r="M14" s="28" t="str">
        <x:f>IF(L14&gt;=12,"Candidato",IF(L14&gt;=9,"Vigilancia","Revisar"))</x:f>
        <x:v>Candidato</x:v>
      </x:c>
      <x:c r="N14" s="58" t="str">
        <x:v>LFL UK, margen EBITDA, deuda, dividendo y ejecución de Back to B&amp;M Basics.</x:v>
      </x:c>
      <x:c r="O14" s="59" t="n">
        <x:v>46238</x:v>
      </x:c>
    </x:row>
    <x:row r="15" ht="118.80000305175781" hidden="0" customHeight="1">
      <x:c r="A15" s="58" t="str">
        <x:v>Kainos Group</x:v>
      </x:c>
      <x:c r="B15" s="58" t="str">
        <x:v>KNOS</x:v>
      </x:c>
      <x:c r="C15" s="75" t="n">
        <x:v>2</x:v>
      </x:c>
      <x:c r="D15" s="75" t="n">
        <x:v>2</x:v>
      </x:c>
      <x:c r="E15" s="75" t="n">
        <x:v>2</x:v>
      </x:c>
      <x:c r="F15" s="75" t="n">
        <x:v>1</x:v>
      </x:c>
      <x:c r="G15" s="75" t="n">
        <x:v>2</x:v>
      </x:c>
      <x:c r="H15" s="75" t="n">
        <x:v>1</x:v>
      </x:c>
      <x:c r="I15" s="75" t="n">
        <x:v>1</x:v>
      </x:c>
      <x:c r="J15" s="75" t="n">
        <x:v>1</x:v>
      </x:c>
      <x:c r="K15" s="75" t="n">
        <x:v>1</x:v>
      </x:c>
      <x:c r="L15" s="76" t="n">
        <x:f>SUM(C15:K15)</x:f>
        <x:v>13</x:v>
      </x:c>
      <x:c r="M15" s="28" t="str">
        <x:f>IF(L15&gt;=12,"Candidato",IF(L15&gt;=9,"Vigilancia","Revisar"))</x:f>
        <x:v>Candidato</x:v>
      </x:c>
      <x:c r="N15" s="58" t="str">
        <x:v>ARR Workday, bookings/backlog, margen ajustado y caja tras recompras.</x:v>
      </x:c>
      <x:c r="O15" s="59" t="n">
        <x:v>46238</x:v>
      </x:c>
    </x:row>
    <x:row r="16" ht="118.80000305175781" hidden="0" customHeight="1">
      <x:c r="A16" s="58" t="str">
        <x:v>Plus500</x:v>
      </x:c>
      <x:c r="B16" s="58" t="str">
        <x:v>PLUS</x:v>
      </x:c>
      <x:c r="C16" s="75" t="n">
        <x:v>2</x:v>
      </x:c>
      <x:c r="D16" s="75" t="n">
        <x:v>2</x:v>
      </x:c>
      <x:c r="E16" s="75" t="n">
        <x:v>2</x:v>
      </x:c>
      <x:c r="F16" s="75" t="n">
        <x:v>2</x:v>
      </x:c>
      <x:c r="G16" s="75" t="n">
        <x:v>2</x:v>
      </x:c>
      <x:c r="H16" s="75" t="n">
        <x:v>1</x:v>
      </x:c>
      <x:c r="I16" s="75" t="n">
        <x:v>1</x:v>
      </x:c>
      <x:c r="J16" s="75" t="n">
        <x:v>1</x:v>
      </x:c>
      <x:c r="K16" s="75" t="n">
        <x:v>1</x:v>
      </x:c>
      <x:c r="L16" s="76" t="n">
        <x:f>SUM(C16:K16)</x:f>
        <x:v>14</x:v>
      </x:c>
      <x:c r="M16" s="28" t="str">
        <x:f>IF(L16&gt;=12,"Candidato",IF(L16&gt;=9,"Vigilancia","Revisar"))</x:f>
        <x:v>Candidato</x:v>
      </x:c>
      <x:c r="N16" s="58" t="str">
        <x:v>H1: customer income, EBITDA, clientes, margen, regulación y retorno de capital.</x:v>
      </x:c>
      <x:c r="O16" s="59" t="n">
        <x:v>46238</x:v>
      </x:c>
    </x:row>
    <x:row r="17" ht="15" hidden="0" customHeight="1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</x:row>
    <x:row r="18" ht="15" hidden="0" customHeight="1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</x:row>
    <x:row r="19" ht="15" hidden="0" customHeight="1">
      <x:c r="A19" s="36" t="str">
        <x:v>Preguntas de control antes de comprar</x:v>
      </x:c>
      <x:c r="B19" s="36" t="str">
        <x:v>Preguntas de control antes de comprar</x:v>
      </x:c>
      <x:c r="C19" s="36" t="str">
        <x:v>Preguntas de control antes de comprar</x:v>
      </x:c>
      <x:c r="D19" s="36" t="str">
        <x:v>Preguntas de control antes de comprar</x:v>
      </x:c>
      <x:c r="E19" s="36" t="str">
        <x:v>Preguntas de control antes de comprar</x:v>
      </x:c>
      <x:c r="F19" s="36" t="str">
        <x:v>Preguntas de control antes de comprar</x:v>
      </x:c>
      <x:c r="G19" s="36" t="str">
        <x:v>Preguntas de control antes de comprar</x:v>
      </x:c>
      <x:c r="H19" s="36" t="str">
        <x:v>Preguntas de control antes de comprar</x:v>
      </x:c>
      <x:c r="I19" s="36" t="str">
        <x:v>Preguntas de control antes de comprar</x:v>
      </x:c>
      <x:c r="J19" s="36" t="str">
        <x:v>Preguntas de control antes de comprar</x:v>
      </x:c>
      <x:c r="K19" s="36" t="str">
        <x:v>Preguntas de control antes de comprar</x:v>
      </x:c>
      <x:c r="L19" s="36" t="str">
        <x:v>Preguntas de control antes de comprar</x:v>
      </x:c>
      <x:c r="M19" s="36" t="str">
        <x:v>Preguntas de control antes de comprar</x:v>
      </x:c>
      <x:c r="N19" s="36" t="str">
        <x:v>Preguntas de control antes de comprar</x:v>
      </x:c>
      <x:c r="O19" s="36" t="str">
        <x:v>Preguntas de control antes de comprar</x:v>
      </x:c>
    </x:row>
    <x:row r="20" ht="15" hidden="0" customHeight="1">
      <x:c r="A20" s="77" t="str">
        <x:v>1</x:v>
      </x:c>
      <x:c r="B20" s="33" t="str">
        <x:v>¿Puedo explicar cómo gana dinero en dos frases y qué variable mueve el beneficio?</x:v>
      </x:c>
      <x:c r="C20" s="33" t="str"/>
      <x:c r="D20" s="33" t="str"/>
      <x:c r="E20" s="33" t="str"/>
      <x:c r="F20" s="33" t="str"/>
      <x:c r="G20" s="33" t="str"/>
      <x:c r="H20" s="33" t="str"/>
      <x:c r="I20" s="33" t="str"/>
      <x:c r="J20" s="33" t="str"/>
      <x:c r="K20" s="33" t="str"/>
      <x:c r="L20" s="33" t="str"/>
      <x:c r="M20" s="33" t="str"/>
      <x:c r="N20" s="33" t="str"/>
      <x:c r="O20" s="33" t="str"/>
    </x:row>
    <x:row r="21" ht="15" hidden="0" customHeight="1">
      <x:c r="A21" s="77" t="str">
        <x:v>2</x:v>
      </x:c>
      <x:c r="B21" s="33" t="str">
        <x:v>¿La tesis depende de un catalizador identificable o solo de que el múltiplo se expanda?</x:v>
      </x:c>
      <x:c r="C21" s="33" t="str"/>
      <x:c r="D21" s="33" t="str"/>
      <x:c r="E21" s="33" t="str"/>
      <x:c r="F21" s="33" t="str"/>
      <x:c r="G21" s="33" t="str"/>
      <x:c r="H21" s="33" t="str"/>
      <x:c r="I21" s="33" t="str"/>
      <x:c r="J21" s="33" t="str"/>
      <x:c r="K21" s="33" t="str"/>
      <x:c r="L21" s="33" t="str"/>
      <x:c r="M21" s="33" t="str"/>
      <x:c r="N21" s="33" t="str"/>
      <x:c r="O21" s="33" t="str"/>
    </x:row>
    <x:row r="22" ht="15" hidden="0" customHeight="1">
      <x:c r="A22" s="77" t="str">
        <x:v>3</x:v>
      </x:c>
      <x:c r="B22" s="33" t="str">
        <x:v>¿El crecimiento llega a beneficio y caja, o solo a ingresos / métricas ajustadas?</x:v>
      </x:c>
      <x:c r="C22" s="33" t="str"/>
      <x:c r="D22" s="33" t="str"/>
      <x:c r="E22" s="33" t="str"/>
      <x:c r="F22" s="33" t="str"/>
      <x:c r="G22" s="33" t="str"/>
      <x:c r="H22" s="33" t="str"/>
      <x:c r="I22" s="33" t="str"/>
      <x:c r="J22" s="33" t="str"/>
      <x:c r="K22" s="33" t="str"/>
      <x:c r="L22" s="33" t="str"/>
      <x:c r="M22" s="33" t="str"/>
      <x:c r="N22" s="33" t="str"/>
      <x:c r="O22" s="33" t="str"/>
    </x:row>
    <x:row r="23" ht="15" hidden="0" customHeight="1">
      <x:c r="A23" s="77" t="str">
        <x:v>4</x:v>
      </x:c>
      <x:c r="B23" s="33" t="str">
        <x:v>¿Qué PER pagaría por beneficios normalizados y qué precio ofrece margen de seguridad?</x:v>
      </x:c>
      <x:c r="C23" s="33" t="str"/>
      <x:c r="D23" s="33" t="str"/>
      <x:c r="E23" s="33" t="str"/>
      <x:c r="F23" s="33" t="str"/>
      <x:c r="G23" s="33" t="str"/>
      <x:c r="H23" s="33" t="str"/>
      <x:c r="I23" s="33" t="str"/>
      <x:c r="J23" s="33" t="str"/>
      <x:c r="K23" s="33" t="str"/>
      <x:c r="L23" s="33" t="str"/>
      <x:c r="M23" s="33" t="str"/>
      <x:c r="N23" s="33" t="str"/>
      <x:c r="O23" s="33" t="str"/>
    </x:row>
    <x:row r="24" ht="15" hidden="0" customHeight="1">
      <x:c r="A24" s="77" t="str">
        <x:v>5</x:v>
      </x:c>
      <x:c r="B24" s="33" t="str">
        <x:v>¿Qué dato invalidaría la tesis? Escríbelo antes de comprar.</x:v>
      </x:c>
      <x:c r="C24" s="33" t="str"/>
      <x:c r="D24" s="33" t="str"/>
      <x:c r="E24" s="33" t="str"/>
      <x:c r="F24" s="33" t="str"/>
      <x:c r="G24" s="33" t="str"/>
      <x:c r="H24" s="33" t="str"/>
      <x:c r="I24" s="33" t="str"/>
      <x:c r="J24" s="33" t="str"/>
      <x:c r="K24" s="33" t="str"/>
      <x:c r="L24" s="33" t="str"/>
      <x:c r="M24" s="33" t="str"/>
      <x:c r="N24" s="33" t="str"/>
      <x:c r="O24" s="33" t="str"/>
    </x:row>
    <x:row r="25" ht="15" hidden="0" customHeight="1">
      <x:c r="A25" s="77" t="str">
        <x:v>6</x:v>
      </x:c>
      <x:c r="B25" s="33" t="str">
        <x:v>¿He leído el último informe, las notas de deuda/dilución y la remuneración directiva?</x:v>
      </x:c>
      <x:c r="C25" s="33" t="str"/>
      <x:c r="D25" s="33" t="str"/>
      <x:c r="E25" s="33" t="str"/>
      <x:c r="F25" s="33" t="str"/>
      <x:c r="G25" s="33" t="str"/>
      <x:c r="H25" s="33" t="str"/>
      <x:c r="I25" s="33" t="str"/>
      <x:c r="J25" s="33" t="str"/>
      <x:c r="K25" s="33" t="str"/>
      <x:c r="L25" s="33" t="str"/>
      <x:c r="M25" s="33" t="str"/>
      <x:c r="N25" s="33" t="str"/>
      <x:c r="O25" s="33" t="str"/>
    </x:row>
  </x:sheetData>
  <x:mergeCells>
    <x:mergeCell ref="A1:O1"/>
    <x:mergeCell ref="A2:O2"/>
    <x:mergeCell ref="A19:O19"/>
    <x:mergeCell ref="B20:O20"/>
    <x:mergeCell ref="B21:O21"/>
    <x:mergeCell ref="B22:O22"/>
    <x:mergeCell ref="B23:O23"/>
    <x:mergeCell ref="B24:O24"/>
    <x:mergeCell ref="B25:O25"/>
  </x:mergeCells>
  <x:conditionalFormatting sqref="A5:M16">
    <x:cfRule type="cellIs" dxfId="2" priority="1" operator="greaterThanOrEqual">
      <x:formula>12</x:formula>
    </x:cfRule>
  </x:conditionalFormatting>
  <x:dataValidations count="2">
    <x:dataValidation operator="between" sqref="C5:K16">
      <x:formula1>0</x:formula1>
      <x:formula2>2</x:formula2>
    </x:dataValidation>
    <x:dataValidation operator="between" sqref="H5:I16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cbffa00cde14c2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" hidden="0" customWidth="1"/>
    <x:col min="3" max="3" width="12" hidden="0" customWidth="1"/>
    <x:col min="4" max="4" width="12" hidden="0" customWidth="1"/>
    <x:col min="5" max="5" width="10" hidden="0" customWidth="1"/>
    <x:col min="6" max="6" width="18" hidden="0" customWidth="1"/>
    <x:col min="7" max="7" width="12" hidden="0" customWidth="1"/>
    <x:col min="8" max="8" width="18" hidden="0" customWidth="1"/>
    <x:col min="9" max="9" width="12" hidden="0" customWidth="1"/>
    <x:col min="10" max="10" width="16" hidden="0" customWidth="1"/>
    <x:col min="11" max="11" width="10" hidden="0" customWidth="1"/>
    <x:col min="12" max="12" width="12" hidden="0" customWidth="1"/>
    <x:col min="13" max="13" width="20" hidden="0" customWidth="1"/>
    <x:col min="14" max="14" width="42" hidden="0" customWidth="1"/>
    <x:col min="15" max="15" width="14" hidden="0" customWidth="1"/>
    <x:col min="16" max="16" width="40" hidden="0" customWidth="1"/>
  </x:cols>
  <x:sheetData>
    <x:row r="1" ht="19.200000762939453" hidden="0" customHeight="1">
      <x:c r="A1" s="34" t="str">
        <x:v>Historial financiero y operativo</x:v>
      </x:c>
      <x:c r="B1" s="34" t="str">
        <x:v>Historial financiero y operativo</x:v>
      </x:c>
      <x:c r="C1" s="34" t="str">
        <x:v>Historial financiero y operativo</x:v>
      </x:c>
      <x:c r="D1" s="34" t="str">
        <x:v>Historial financiero y operativo</x:v>
      </x:c>
      <x:c r="E1" s="34" t="str">
        <x:v>Historial financiero y operativo</x:v>
      </x:c>
      <x:c r="F1" s="34" t="str">
        <x:v>Historial financiero y operativo</x:v>
      </x:c>
      <x:c r="G1" s="34" t="str">
        <x:v>Historial financiero y operativo</x:v>
      </x:c>
      <x:c r="H1" s="34" t="str">
        <x:v>Historial financiero y operativo</x:v>
      </x:c>
      <x:c r="I1" s="34" t="str">
        <x:v>Historial financiero y operativo</x:v>
      </x:c>
      <x:c r="J1" s="34" t="str">
        <x:v>Historial financiero y operativo</x:v>
      </x:c>
      <x:c r="K1" s="34" t="str">
        <x:v>Historial financiero y operativo</x:v>
      </x:c>
      <x:c r="L1" s="34" t="str">
        <x:v>Historial financiero y operativo</x:v>
      </x:c>
      <x:c r="M1" s="34" t="str">
        <x:v>Historial financiero y operativo</x:v>
      </x:c>
      <x:c r="N1" s="34" t="str">
        <x:v>Historial financiero y operativo</x:v>
      </x:c>
      <x:c r="O1" s="34" t="str">
        <x:v>Historial financiero y operativo</x:v>
      </x:c>
      <x:c r="P1" s="34" t="str">
        <x:v>Historial financiero y operativo</x:v>
      </x:c>
    </x:row>
    <x:row r="2" ht="15" hidden="0" customHeight="1">
      <x:c r="A2" s="8" t="str">
        <x:v>Añade una fila por periodo. Mantén la moneda y el tipo de periodo para no mezclar anual, semestre y trimestre sin advertencia.</x:v>
      </x:c>
      <x:c r="B2" s="8" t="str">
        <x:v>Añade una fila por periodo. Mantén la moneda y el tipo de periodo para no mezclar anual, semestre y trimestre sin advertencia.</x:v>
      </x:c>
      <x:c r="C2" s="8" t="str">
        <x:v>Añade una fila por periodo. Mantén la moneda y el tipo de periodo para no mezclar anual, semestre y trimestre sin advertencia.</x:v>
      </x:c>
      <x:c r="D2" s="8" t="str">
        <x:v>Añade una fila por periodo. Mantén la moneda y el tipo de periodo para no mezclar anual, semestre y trimestre sin advertencia.</x:v>
      </x:c>
      <x:c r="E2" s="8" t="str">
        <x:v>Añade una fila por periodo. Mantén la moneda y el tipo de periodo para no mezclar anual, semestre y trimestre sin advertencia.</x:v>
      </x:c>
      <x:c r="F2" s="8" t="str">
        <x:v>Añade una fila por periodo. Mantén la moneda y el tipo de periodo para no mezclar anual, semestre y trimestre sin advertencia.</x:v>
      </x:c>
      <x:c r="G2" s="8" t="str">
        <x:v>Añade una fila por periodo. Mantén la moneda y el tipo de periodo para no mezclar anual, semestre y trimestre sin advertencia.</x:v>
      </x:c>
      <x:c r="H2" s="8" t="str">
        <x:v>Añade una fila por periodo. Mantén la moneda y el tipo de periodo para no mezclar anual, semestre y trimestre sin advertencia.</x:v>
      </x:c>
      <x:c r="I2" s="8" t="str">
        <x:v>Añade una fila por periodo. Mantén la moneda y el tipo de periodo para no mezclar anual, semestre y trimestre sin advertencia.</x:v>
      </x:c>
      <x:c r="J2" s="8" t="str">
        <x:v>Añade una fila por periodo. Mantén la moneda y el tipo de periodo para no mezclar anual, semestre y trimestre sin advertencia.</x:v>
      </x:c>
      <x:c r="K2" s="8" t="str">
        <x:v>Añade una fila por periodo. Mantén la moneda y el tipo de periodo para no mezclar anual, semestre y trimestre sin advertencia.</x:v>
      </x:c>
      <x:c r="L2" s="8" t="str">
        <x:v>Añade una fila por periodo. Mantén la moneda y el tipo de periodo para no mezclar anual, semestre y trimestre sin advertencia.</x:v>
      </x:c>
      <x:c r="M2" s="8" t="str">
        <x:v>Añade una fila por periodo. Mantén la moneda y el tipo de periodo para no mezclar anual, semestre y trimestre sin advertencia.</x:v>
      </x:c>
      <x:c r="N2" s="8" t="str">
        <x:v>Añade una fila por periodo. Mantén la moneda y el tipo de periodo para no mezclar anual, semestre y trimestre sin advertencia.</x:v>
      </x:c>
      <x:c r="O2" s="8" t="str">
        <x:v>Añade una fila por periodo. Mantén la moneda y el tipo de periodo para no mezclar anual, semestre y trimestre sin advertencia.</x:v>
      </x:c>
      <x:c r="P2" s="8" t="str">
        <x:v>Añade una fila por periodo. Mantén la moneda y el tipo de periodo para no mezclar anual, semestre y trimestre sin advertencia.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48" hidden="0" customHeight="1">
      <x:c r="A4" s="20" t="str">
        <x:v>Empresa</x:v>
      </x:c>
      <x:c r="B4" s="20" t="str">
        <x:v>Ticker</x:v>
      </x:c>
      <x:c r="C4" s="20" t="str">
        <x:v>Periodo</x:v>
      </x:c>
      <x:c r="D4" s="20" t="str">
        <x:v>Tipo</x:v>
      </x:c>
      <x:c r="E4" s="20" t="str">
        <x:v>Moneda</x:v>
      </x:c>
      <x:c r="F4" s="20" t="str">
        <x:v>Ventas / net contribution (m)</x:v>
      </x:c>
      <x:c r="G4" s="20" t="str">
        <x:v>Crec. ventas</x:v>
      </x:c>
      <x:c r="H4" s="20" t="str">
        <x:v>EBITDA / op. profit (m)</x:v>
      </x:c>
      <x:c r="I4" s="20" t="str">
        <x:v>Crec. EBITDA</x:v>
      </x:c>
      <x:c r="J4" s="20" t="str">
        <x:v>Beneficio / PAT (m)</x:v>
      </x:c>
      <x:c r="K4" s="20" t="str">
        <x:v>EPS</x:v>
      </x:c>
      <x:c r="L4" s="20" t="str">
        <x:v>FCF (m)</x:v>
      </x:c>
      <x:c r="M4" s="20" t="str">
        <x:v>Caja neta (-) / deuda neta (+) (m)</x:v>
      </x:c>
      <x:c r="N4" s="20" t="str">
        <x:v>KPI operativo</x:v>
      </x:c>
      <x:c r="O4" s="20" t="str">
        <x:v>Fuente ID</x:v>
      </x:c>
      <x:c r="P4" s="20" t="str">
        <x:v>Nota</x:v>
      </x:c>
    </x:row>
    <x:row r="5" ht="52.79999923706055" hidden="0" customHeight="1">
      <x:c r="A5" s="58" t="str">
        <x:v>Atalaya Mining</x:v>
      </x:c>
      <x:c r="B5" s="58" t="str">
        <x:v>ATYM</x:v>
      </x:c>
      <x:c r="C5" s="58" t="str">
        <x:v>FY2024</x:v>
      </x:c>
      <x:c r="D5" s="58" t="str">
        <x:v>Anual</x:v>
      </x:c>
      <x:c r="E5" s="58" t="str">
        <x:v>EUR</x:v>
      </x:c>
      <x:c r="F5" s="61" t="n">
        <x:v>326.8</x:v>
      </x:c>
      <x:c r="G5" s="63"/>
      <x:c r="H5" s="61" t="n">
        <x:v>66.4</x:v>
      </x:c>
      <x:c r="I5" s="63"/>
      <x:c r="J5" s="61" t="n">
        <x:v>32.6</x:v>
      </x:c>
      <x:c r="K5" s="61" t="n">
        <x:v>0.226</x:v>
      </x:c>
      <x:c r="L5" s="61"/>
      <x:c r="M5" s="61"/>
      <x:c r="N5" s="58" t="str">
        <x:v>Producción cobre: periodo anterior</x:v>
      </x:c>
      <x:c r="O5" s="58" t="str">
        <x:v>ATYM-FY25</x:v>
      </x:c>
      <x:c r="P5" s="58" t="str">
        <x:v>Comparativa del informe FY25</x:v>
      </x:c>
    </x:row>
    <x:row r="6" ht="52.79999923706055" hidden="0" customHeight="1">
      <x:c r="A6" s="58" t="str">
        <x:v>Atalaya Mining</x:v>
      </x:c>
      <x:c r="B6" s="58" t="str">
        <x:v>ATYM</x:v>
      </x:c>
      <x:c r="C6" s="58" t="str">
        <x:v>FY2025</x:v>
      </x:c>
      <x:c r="D6" s="58" t="str">
        <x:v>Anual</x:v>
      </x:c>
      <x:c r="E6" s="58" t="str">
        <x:v>EUR</x:v>
      </x:c>
      <x:c r="F6" s="61" t="n">
        <x:v>482.9</x:v>
      </x:c>
      <x:c r="G6" s="63" t="n">
        <x:v>0.478</x:v>
      </x:c>
      <x:c r="H6" s="61" t="n">
        <x:v>179.8</x:v>
      </x:c>
      <x:c r="I6" s="63" t="n">
        <x:v>1.708</x:v>
      </x:c>
      <x:c r="J6" s="61" t="n">
        <x:v>85.4</x:v>
      </x:c>
      <x:c r="K6" s="61" t="n">
        <x:v>0.608</x:v>
      </x:c>
      <x:c r="L6" s="61" t="n">
        <x:v>107.4</x:v>
      </x:c>
      <x:c r="M6" s="61" t="n">
        <x:v>-122</x:v>
      </x:c>
      <x:c r="N6" s="58" t="str">
        <x:v>Cobre; caja neta FY25</x:v>
      </x:c>
      <x:c r="O6" s="58" t="str">
        <x:v>ATYM-FY25</x:v>
      </x:c>
      <x:c r="P6" s="58" t="str">
        <x:v>Caja de Q2 2026 separada abajo</x:v>
      </x:c>
    </x:row>
    <x:row r="7" ht="92.4000015258789" hidden="0" customHeight="1">
      <x:c r="A7" s="58" t="str">
        <x:v>Atalaya Mining</x:v>
      </x:c>
      <x:c r="B7" s="58" t="str">
        <x:v>ATYM</x:v>
      </x:c>
      <x:c r="C7" s="58" t="str">
        <x:v>Q2 2026</x:v>
      </x:c>
      <x:c r="D7" s="58" t="str">
        <x:v>Trimestral</x:v>
      </x:c>
      <x:c r="E7" s="58" t="str">
        <x:v>EUR</x:v>
      </x:c>
      <x:c r="F7" s="61"/>
      <x:c r="G7" s="63"/>
      <x:c r="H7" s="61"/>
      <x:c r="I7" s="63"/>
      <x:c r="J7" s="61"/>
      <x:c r="K7" s="61"/>
      <x:c r="L7" s="61"/>
      <x:c r="M7" s="61" t="n">
        <x:v>-318.4</x:v>
      </x:c>
      <x:c r="N7" s="58" t="str">
        <x:v>Producción 13.493 kt; inventario 11.362 kt</x:v>
      </x:c>
      <x:c r="O7" s="58" t="str">
        <x:v>ATYM-Q2-26</x:v>
      </x:c>
      <x:c r="P7" s="58" t="str">
        <x:v>Actualización operativa, no cuenta de resultados completa</x:v>
      </x:c>
    </x:row>
    <x:row r="8" ht="52.79999923706055" hidden="0" customHeight="1">
      <x:c r="A8" s="58" t="str">
        <x:v>Rio Tinto</x:v>
      </x:c>
      <x:c r="B8" s="58" t="str">
        <x:v>RIO</x:v>
      </x:c>
      <x:c r="C8" s="58" t="str">
        <x:v>FY2025</x:v>
      </x:c>
      <x:c r="D8" s="58" t="str">
        <x:v>Anual</x:v>
      </x:c>
      <x:c r="E8" s="58" t="str">
        <x:v>USD</x:v>
      </x:c>
      <x:c r="F8" s="61" t="n">
        <x:v>57638</x:v>
      </x:c>
      <x:c r="G8" s="63"/>
      <x:c r="H8" s="61" t="n">
        <x:v>25363</x:v>
      </x:c>
      <x:c r="I8" s="63"/>
      <x:c r="J8" s="61" t="n">
        <x:v>9966</x:v>
      </x:c>
      <x:c r="K8" s="61"/>
      <x:c r="L8" s="61" t="n">
        <x:v>4025</x:v>
      </x:c>
      <x:c r="M8" s="61" t="n">
        <x:v>14362</x:v>
      </x:c>
      <x:c r="N8" s="58" t="str">
        <x:v>Producción / cobre; dividendo 402c</x:v>
      </x:c>
      <x:c r="O8" s="58" t="str">
        <x:v>RIO-FY25</x:v>
      </x:c>
      <x:c r="P8" s="58" t="str">
        <x:v>Resultados oficiales FY25</x:v>
      </x:c>
    </x:row>
    <x:row r="9" ht="52.79999923706055" hidden="0" customHeight="1">
      <x:c r="A9" s="58" t="str">
        <x:v>Rio Tinto</x:v>
      </x:c>
      <x:c r="B9" s="58" t="str">
        <x:v>RIO</x:v>
      </x:c>
      <x:c r="C9" s="58" t="str">
        <x:v>H1 2026</x:v>
      </x:c>
      <x:c r="D9" s="58" t="str">
        <x:v>Semestral</x:v>
      </x:c>
      <x:c r="E9" s="58" t="str">
        <x:v>USD</x:v>
      </x:c>
      <x:c r="F9" s="61" t="n">
        <x:v>31028</x:v>
      </x:c>
      <x:c r="G9" s="63"/>
      <x:c r="H9" s="61" t="n">
        <x:v>14826</x:v>
      </x:c>
      <x:c r="I9" s="63"/>
      <x:c r="J9" s="61" t="n">
        <x:v>6851</x:v>
      </x:c>
      <x:c r="K9" s="61"/>
      <x:c r="L9" s="61" t="n">
        <x:v>3834</x:v>
      </x:c>
      <x:c r="M9" s="61" t="n">
        <x:v>14061</x:v>
      </x:c>
      <x:c r="N9" s="58" t="str">
        <x:v>Producción +8% y disciplina de costes</x:v>
      </x:c>
      <x:c r="O9" s="58" t="str">
        <x:v>RIO-H1-26</x:v>
      </x:c>
      <x:c r="P9" s="58" t="str">
        <x:v>Presentación/resultados H1</x:v>
      </x:c>
    </x:row>
    <x:row r="10" ht="92.4000015258789" hidden="0" customHeight="1">
      <x:c r="A10" s="58" t="str">
        <x:v>eToro</x:v>
      </x:c>
      <x:c r="B10" s="58" t="str">
        <x:v>ETOR</x:v>
      </x:c>
      <x:c r="C10" s="58" t="str">
        <x:v>FY2025</x:v>
      </x:c>
      <x:c r="D10" s="58" t="str">
        <x:v>Anual</x:v>
      </x:c>
      <x:c r="E10" s="58" t="str">
        <x:v>USD</x:v>
      </x:c>
      <x:c r="F10" s="61" t="n">
        <x:v>868</x:v>
      </x:c>
      <x:c r="G10" s="63" t="n">
        <x:v>0.1</x:v>
      </x:c>
      <x:c r="H10" s="61" t="n">
        <x:v>317</x:v>
      </x:c>
      <x:c r="I10" s="63" t="n">
        <x:v>0.04</x:v>
      </x:c>
      <x:c r="J10" s="61" t="n">
        <x:v>216</x:v>
      </x:c>
      <x:c r="K10" s="61" t="n">
        <x:v>2.64</x:v>
      </x:c>
      <x:c r="L10" s="61"/>
      <x:c r="M10" s="61" t="n">
        <x:v>-1300</x:v>
      </x:c>
      <x:c r="N10" s="58" t="str">
        <x:v>AUA / cuentas financiadas</x:v>
      </x:c>
      <x:c r="O10" s="58" t="str">
        <x:v>ETOR-FY25</x:v>
      </x:c>
      <x:c r="P10" s="58" t="str">
        <x:v>Net contribution, no revenue GAAP comparable</x:v>
      </x:c>
    </x:row>
    <x:row r="11" ht="66" hidden="0" customHeight="1">
      <x:c r="A11" s="58" t="str">
        <x:v>eToro</x:v>
      </x:c>
      <x:c r="B11" s="58" t="str">
        <x:v>ETOR</x:v>
      </x:c>
      <x:c r="C11" s="58" t="str">
        <x:v>Q1 2026</x:v>
      </x:c>
      <x:c r="D11" s="58" t="str">
        <x:v>Trimestral</x:v>
      </x:c>
      <x:c r="E11" s="58" t="str">
        <x:v>USD</x:v>
      </x:c>
      <x:c r="F11" s="61" t="n">
        <x:v>258</x:v>
      </x:c>
      <x:c r="G11" s="63" t="n">
        <x:v>0.19</x:v>
      </x:c>
      <x:c r="H11" s="61" t="n">
        <x:v>109</x:v>
      </x:c>
      <x:c r="I11" s="63" t="n">
        <x:v>0.35</x:v>
      </x:c>
      <x:c r="J11" s="61" t="n">
        <x:v>82</x:v>
      </x:c>
      <x:c r="K11" s="61"/>
      <x:c r="L11" s="61"/>
      <x:c r="M11" s="61" t="n">
        <x:v>-1300</x:v>
      </x:c>
      <x:c r="N11" s="58" t="str">
        <x:v>AUA 17.0bn; funded accounts 4.02m</x:v>
      </x:c>
      <x:c r="O11" s="58" t="str">
        <x:v>ETOR-Q1-26</x:v>
      </x:c>
      <x:c r="P11" s="58" t="str">
        <x:v>Crecimientos interanuales</x:v>
      </x:c>
    </x:row>
    <x:row r="12" ht="79.19999694824219" hidden="0" customHeight="1">
      <x:c r="A12" s="58" t="str">
        <x:v>HBX Group</x:v>
      </x:c>
      <x:c r="B12" s="58" t="str">
        <x:v>HBX</x:v>
      </x:c>
      <x:c r="C12" s="58" t="str">
        <x:v>H1 2026</x:v>
      </x:c>
      <x:c r="D12" s="58" t="str">
        <x:v>Semestral</x:v>
      </x:c>
      <x:c r="E12" s="58" t="str">
        <x:v>EUR</x:v>
      </x:c>
      <x:c r="F12" s="61" t="n">
        <x:v>309</x:v>
      </x:c>
      <x:c r="G12" s="63" t="n">
        <x:v>0.01</x:v>
      </x:c>
      <x:c r="H12" s="61" t="n">
        <x:v>163</x:v>
      </x:c>
      <x:c r="I12" s="63" t="n">
        <x:v>0.09</x:v>
      </x:c>
      <x:c r="J12" s="61" t="n">
        <x:v>28</x:v>
      </x:c>
      <x:c r="K12" s="61"/>
      <x:c r="L12" s="61"/>
      <x:c r="M12" s="61" t="n">
        <x:v>741</x:v>
      </x:c>
      <x:c r="N12" s="58" t="str">
        <x:v>TTV 3.77bn +17% CC; cash conversion 103%</x:v>
      </x:c>
      <x:c r="O12" s="58" t="str">
        <x:v>HBX-H1-26</x:v>
      </x:c>
      <x:c r="P12" s="58" t="str">
        <x:v>Guía FY26 revisada a la baja</x:v>
      </x:c>
    </x:row>
    <x:row r="13" ht="79.19999694824219" hidden="0" customHeight="1">
      <x:c r="A13" s="58" t="str">
        <x:v>Figma</x:v>
      </x:c>
      <x:c r="B13" s="58" t="str">
        <x:v>FIG</x:v>
      </x:c>
      <x:c r="C13" s="58" t="str">
        <x:v>FY2025</x:v>
      </x:c>
      <x:c r="D13" s="58" t="str">
        <x:v>Anual</x:v>
      </x:c>
      <x:c r="E13" s="58" t="str">
        <x:v>USD</x:v>
      </x:c>
      <x:c r="F13" s="61" t="n">
        <x:v>1056</x:v>
      </x:c>
      <x:c r="G13" s="63" t="n">
        <x:v>0.41</x:v>
      </x:c>
      <x:c r="H13" s="61" t="n">
        <x:v>129.5</x:v>
      </x:c>
      <x:c r="I13" s="63"/>
      <x:c r="J13" s="61"/>
      <x:c r="K13" s="61"/>
      <x:c r="L13" s="61" t="n">
        <x:v>242.7</x:v>
      </x:c>
      <x:c r="M13" s="61" t="n">
        <x:v>-1700</x:v>
      </x:c>
      <x:c r="N13" s="58" t="str">
        <x:v>NDR / clientes empresariales</x:v>
      </x:c>
      <x:c r="O13" s="58" t="str">
        <x:v>FIG-FY25</x:v>
      </x:c>
      <x:c r="P13" s="58" t="str">
        <x:v>Operating profit non-GAAP; SBC distorsiona GAAP</x:v>
      </x:c>
    </x:row>
    <x:row r="14" ht="66" hidden="0" customHeight="1">
      <x:c r="A14" s="58" t="str">
        <x:v>Figma</x:v>
      </x:c>
      <x:c r="B14" s="58" t="str">
        <x:v>FIG</x:v>
      </x:c>
      <x:c r="C14" s="58" t="str">
        <x:v>Q1 2026</x:v>
      </x:c>
      <x:c r="D14" s="58" t="str">
        <x:v>Trimestral</x:v>
      </x:c>
      <x:c r="E14" s="58" t="str">
        <x:v>USD</x:v>
      </x:c>
      <x:c r="F14" s="61" t="n">
        <x:v>333.4</x:v>
      </x:c>
      <x:c r="G14" s="63" t="n">
        <x:v>0.46</x:v>
      </x:c>
      <x:c r="H14" s="61" t="n">
        <x:v>52.1</x:v>
      </x:c>
      <x:c r="I14" s="63"/>
      <x:c r="J14" s="61" t="n">
        <x:v>-142.4</x:v>
      </x:c>
      <x:c r="K14" s="61"/>
      <x:c r="L14" s="61" t="n">
        <x:v>88.6</x:v>
      </x:c>
      <x:c r="M14" s="61" t="n">
        <x:v>-1600</x:v>
      </x:c>
      <x:c r="N14" s="58" t="str">
        <x:v>NDR 139%; paid customers ~690k</x:v>
      </x:c>
      <x:c r="O14" s="58" t="str">
        <x:v>FIG-Q1-26</x:v>
      </x:c>
      <x:c r="P14" s="58" t="str">
        <x:v>Cash and securities</x:v>
      </x:c>
    </x:row>
    <x:row r="15" ht="66" hidden="0" customHeight="1">
      <x:c r="A15" s="58" t="str">
        <x:v>JD Sports Fashion</x:v>
      </x:c>
      <x:c r="B15" s="58" t="str">
        <x:v>JD.</x:v>
      </x:c>
      <x:c r="C15" s="58" t="str">
        <x:v>FY2026</x:v>
      </x:c>
      <x:c r="D15" s="58" t="str">
        <x:v>Anual</x:v>
      </x:c>
      <x:c r="E15" s="58" t="str">
        <x:v>GBP</x:v>
      </x:c>
      <x:c r="F15" s="61" t="n">
        <x:v>12662</x:v>
      </x:c>
      <x:c r="G15" s="63" t="n">
        <x:v>0.105</x:v>
      </x:c>
      <x:c r="H15" s="61" t="n">
        <x:v>886</x:v>
      </x:c>
      <x:c r="I15" s="63" t="n">
        <x:v>-0.054</x:v>
      </x:c>
      <x:c r="J15" s="61"/>
      <x:c r="K15" s="61" t="n">
        <x:v>0.0863</x:v>
      </x:c>
      <x:c r="L15" s="61" t="n">
        <x:v>462</x:v>
      </x:c>
      <x:c r="M15" s="61"/>
      <x:c r="N15" s="58" t="str">
        <x:v>Q4 returned to LFL growth</x:v>
      </x:c>
      <x:c r="O15" s="58" t="str">
        <x:v>JD-FY26</x:v>
      </x:c>
      <x:c r="P15" s="58" t="str">
        <x:v>EPS estatutario 8.63p; op profit ajustado</x:v>
      </x:c>
    </x:row>
    <x:row r="16" ht="66" hidden="0" customHeight="1">
      <x:c r="A16" s="58" t="str">
        <x:v>PayPal</x:v>
      </x:c>
      <x:c r="B16" s="58" t="str">
        <x:v>PYPL</x:v>
      </x:c>
      <x:c r="C16" s="58" t="str">
        <x:v>FY2025</x:v>
      </x:c>
      <x:c r="D16" s="58" t="str">
        <x:v>Anual</x:v>
      </x:c>
      <x:c r="E16" s="58" t="str">
        <x:v>USD</x:v>
      </x:c>
      <x:c r="F16" s="61"/>
      <x:c r="G16" s="63"/>
      <x:c r="H16" s="61"/>
      <x:c r="I16" s="63"/>
      <x:c r="J16" s="61"/>
      <x:c r="K16" s="61"/>
      <x:c r="L16" s="61" t="n">
        <x:v>6400</x:v>
      </x:c>
      <x:c r="M16" s="61"/>
      <x:c r="N16" s="58" t="str">
        <x:v>Recompras 6.0bn; dividendo trimestral 0.14</x:v>
      </x:c>
      <x:c r="O16" s="58" t="str">
        <x:v>PYPL-FY25</x:v>
      </x:c>
      <x:c r="P16" s="58" t="str">
        <x:v>FCF ajustado</x:v>
      </x:c>
    </x:row>
    <x:row r="17" ht="79.19999694824219" hidden="0" customHeight="1">
      <x:c r="A17" s="58" t="str">
        <x:v>PayPal</x:v>
      </x:c>
      <x:c r="B17" s="58" t="str">
        <x:v>PYPL</x:v>
      </x:c>
      <x:c r="C17" s="58" t="str">
        <x:v>Q1 2026</x:v>
      </x:c>
      <x:c r="D17" s="58" t="str">
        <x:v>Trimestral</x:v>
      </x:c>
      <x:c r="E17" s="58" t="str">
        <x:v>USD</x:v>
      </x:c>
      <x:c r="F17" s="61" t="n">
        <x:v>8400</x:v>
      </x:c>
      <x:c r="G17" s="63" t="n">
        <x:v>0.07</x:v>
      </x:c>
      <x:c r="H17" s="61"/>
      <x:c r="I17" s="63"/>
      <x:c r="J17" s="61"/>
      <x:c r="K17" s="61"/>
      <x:c r="L17" s="61" t="n">
        <x:v>1700</x:v>
      </x:c>
      <x:c r="M17" s="61"/>
      <x:c r="N17" s="58" t="str">
        <x:v>TPV 464bn +11%; branded checkout +2%</x:v>
      </x:c>
      <x:c r="O17" s="58" t="str">
        <x:v>PYPL-Q1-26</x:v>
      </x:c>
      <x:c r="P17" s="58" t="str">
        <x:v>Cifras trimestrales</x:v>
      </x:c>
    </x:row>
    <x:row r="18" ht="118.80000305175781" hidden="0" customHeight="1">
      <x:c r="A18" s="58" t="str">
        <x:v>Wise</x:v>
      </x:c>
      <x:c r="B18" s="58" t="str">
        <x:v>WISE</x:v>
      </x:c>
      <x:c r="C18" s="58" t="str">
        <x:v>FY2026</x:v>
      </x:c>
      <x:c r="D18" s="58" t="str">
        <x:v>Anual</x:v>
      </x:c>
      <x:c r="E18" s="58" t="str">
        <x:v>USD</x:v>
      </x:c>
      <x:c r="F18" s="61" t="n">
        <x:v>2502.8</x:v>
      </x:c>
      <x:c r="G18" s="63" t="n">
        <x:v>0.19</x:v>
      </x:c>
      <x:c r="H18" s="61" t="n">
        <x:v>590.7</x:v>
      </x:c>
      <x:c r="I18" s="63" t="n">
        <x:v>-0.189</x:v>
      </x:c>
      <x:c r="J18" s="61" t="n">
        <x:v>498.7</x:v>
      </x:c>
      <x:c r="K18" s="61" t="n">
        <x:v>0.4843</x:v>
      </x:c>
      <x:c r="L18" s="61" t="n">
        <x:v>407.6</x:v>
      </x:c>
      <x:c r="M18" s="61" t="n">
        <x:v>-468</x:v>
      </x:c>
      <x:c r="N18" s="58" t="str">
        <x:v>19m clientes; volumen cross-border 243.5bn; holdings 39bn</x:v>
      </x:c>
      <x:c r="O18" s="58" t="str">
        <x:v>WISE-FY26</x:v>
      </x:c>
      <x:c r="P18" s="58" t="str">
        <x:v>FCF y caja son proxies: el flujo incluye fondos de clientes salvaguardados</x:v>
      </x:c>
    </x:row>
    <x:row r="19" ht="92.4000015258789" hidden="0" customHeight="1">
      <x:c r="A19" s="58" t="str">
        <x:v>Wise</x:v>
      </x:c>
      <x:c r="B19" s="58" t="str">
        <x:v>WISE</x:v>
      </x:c>
      <x:c r="C19" s="58" t="str">
        <x:v>Q1 FY2027</x:v>
      </x:c>
      <x:c r="D19" s="58" t="str">
        <x:v>Trimestral</x:v>
      </x:c>
      <x:c r="E19" s="58" t="str">
        <x:v>USD</x:v>
      </x:c>
      <x:c r="F19" s="61" t="n">
        <x:v>714</x:v>
      </x:c>
      <x:c r="G19" s="63" t="n">
        <x:v>0.25</x:v>
      </x:c>
      <x:c r="H19" s="61"/>
      <x:c r="I19" s="63"/>
      <x:c r="J19" s="61"/>
      <x:c r="K19" s="61"/>
      <x:c r="L19" s="61"/>
      <x:c r="M19" s="61"/>
      <x:c r="N19" s="58" t="str">
        <x:v>11.863m clientes; volumen 69.3bn; take rate 50bps</x:v>
      </x:c>
      <x:c r="O19" s="58" t="str">
        <x:v>WISE-Q1-27</x:v>
      </x:c>
      <x:c r="P19" s="58" t="str">
        <x:v>Actualización operativa; no cuenta de resultados completa</x:v>
      </x:c>
    </x:row>
    <x:row r="20" ht="79.19999694824219" hidden="0" customHeight="1">
      <x:c r="A20" s="58" t="str">
        <x:v>Auto Trader</x:v>
      </x:c>
      <x:c r="B20" s="58" t="str">
        <x:v>AUTO</x:v>
      </x:c>
      <x:c r="C20" s="58" t="str">
        <x:v>FY2026</x:v>
      </x:c>
      <x:c r="D20" s="58" t="str">
        <x:v>Anual</x:v>
      </x:c>
      <x:c r="E20" s="58" t="str">
        <x:v>GBP</x:v>
      </x:c>
      <x:c r="F20" s="61" t="n">
        <x:v>624.3</x:v>
      </x:c>
      <x:c r="G20" s="63" t="n">
        <x:v>0.04</x:v>
      </x:c>
      <x:c r="H20" s="61" t="n">
        <x:v>392.7</x:v>
      </x:c>
      <x:c r="I20" s="63" t="n">
        <x:v>0.04</x:v>
      </x:c>
      <x:c r="J20" s="61" t="n">
        <x:v>293.9</x:v>
      </x:c>
      <x:c r="K20" s="61" t="n">
        <x:v>0.3417</x:v>
      </x:c>
      <x:c r="L20" s="61" t="n">
        <x:v>306.1</x:v>
      </x:c>
      <x:c r="M20" s="61" t="n">
        <x:v>146.8</x:v>
      </x:c>
      <x:c r="N20" s="58" t="str">
        <x:v>ARPR 2,995 GBP +5%; forecourts 13,942</x:v>
      </x:c>
      <x:c r="O20" s="58" t="str">
        <x:v>AUTO-FY26</x:v>
      </x:c>
      <x:c r="P20" s="58" t="str">
        <x:v>FCF aproximado: caja operativa neta más inversión</x:v>
      </x:c>
    </x:row>
    <x:row r="21" ht="105.5999984741211" hidden="0" customHeight="1">
      <x:c r="A21" s="58" t="str">
        <x:v>B&amp;M European Value Retail</x:v>
      </x:c>
      <x:c r="B21" s="58" t="str">
        <x:v>BME</x:v>
      </x:c>
      <x:c r="C21" s="58" t="str">
        <x:v>FY2026</x:v>
      </x:c>
      <x:c r="D21" s="58" t="str">
        <x:v>Anual</x:v>
      </x:c>
      <x:c r="E21" s="58" t="str">
        <x:v>GBP</x:v>
      </x:c>
      <x:c r="F21" s="61" t="n">
        <x:v>5775</x:v>
      </x:c>
      <x:c r="G21" s="63" t="n">
        <x:v>0.036</x:v>
      </x:c>
      <x:c r="H21" s="61" t="n">
        <x:v>459</x:v>
      </x:c>
      <x:c r="I21" s="63" t="n">
        <x:v>-0.259</x:v>
      </x:c>
      <x:c r="J21" s="61" t="n">
        <x:v>284</x:v>
      </x:c>
      <x:c r="K21" s="61" t="n">
        <x:v>0.213</x:v>
      </x:c>
      <x:c r="L21" s="61" t="n">
        <x:v>321</x:v>
      </x:c>
      <x:c r="M21" s="61" t="n">
        <x:v>656</x:v>
      </x:c>
      <x:c r="N21" s="58" t="str">
        <x:v>Margen EBITDA 8.0%; UK plano; Francia +13.4%</x:v>
      </x:c>
      <x:c r="O21" s="58" t="str">
        <x:v>BME-FY26</x:v>
      </x:c>
      <x:c r="P21" s="58" t="str">
        <x:v>Se usa PBT ajustado como proxy de beneficio en la cabecera</x:v>
      </x:c>
    </x:row>
    <x:row r="22" ht="92.4000015258789" hidden="0" customHeight="1">
      <x:c r="A22" s="58" t="str">
        <x:v>B&amp;M European Value Retail</x:v>
      </x:c>
      <x:c r="B22" s="58" t="str">
        <x:v>BME</x:v>
      </x:c>
      <x:c r="C22" s="58" t="str">
        <x:v>Q1 FY2027</x:v>
      </x:c>
      <x:c r="D22" s="58" t="str">
        <x:v>Trimestral</x:v>
      </x:c>
      <x:c r="E22" s="58" t="str">
        <x:v>GBP</x:v>
      </x:c>
      <x:c r="F22" s="61" t="n">
        <x:v>1433</x:v>
      </x:c>
      <x:c r="G22" s="63" t="n">
        <x:v>0.02</x:v>
      </x:c>
      <x:c r="H22" s="61"/>
      <x:c r="I22" s="63"/>
      <x:c r="J22" s="61"/>
      <x:c r="K22" s="61"/>
      <x:c r="L22" s="61"/>
      <x:c r="M22" s="61"/>
      <x:c r="N22" s="58" t="str">
        <x:v>UK LFL -2.3%; Francia LFL +5.3%; Heron LFL +2.6%</x:v>
      </x:c>
      <x:c r="O22" s="58" t="str">
        <x:v>BME-Q1-27</x:v>
      </x:c>
      <x:c r="P22" s="58" t="str">
        <x:v>Actualización operativa; no cuenta de resultados completa</x:v>
      </x:c>
    </x:row>
    <x:row r="23" ht="118.80000305175781" hidden="0" customHeight="1">
      <x:c r="A23" s="58" t="str">
        <x:v>Kainos Group</x:v>
      </x:c>
      <x:c r="B23" s="58" t="str">
        <x:v>KNOS</x:v>
      </x:c>
      <x:c r="C23" s="58" t="str">
        <x:v>FY2026</x:v>
      </x:c>
      <x:c r="D23" s="58" t="str">
        <x:v>Anual</x:v>
      </x:c>
      <x:c r="E23" s="58" t="str">
        <x:v>GBP</x:v>
      </x:c>
      <x:c r="F23" s="61" t="n">
        <x:v>431.1</x:v>
      </x:c>
      <x:c r="G23" s="63" t="n">
        <x:v>0.17</x:v>
      </x:c>
      <x:c r="H23" s="61" t="n">
        <x:v>67.1</x:v>
      </x:c>
      <x:c r="I23" s="63" t="n">
        <x:v>0.02</x:v>
      </x:c>
      <x:c r="J23" s="61" t="n">
        <x:v>42.5</x:v>
      </x:c>
      <x:c r="K23" s="61" t="n">
        <x:v>0.351</x:v>
      </x:c>
      <x:c r="L23" s="61" t="n">
        <x:v>49.7</x:v>
      </x:c>
      <x:c r="M23" s="61" t="n">
        <x:v>-89.1</x:v>
      </x:c>
      <x:c r="N23" s="58" t="str">
        <x:v>Bookings 505.3m; backlog 433.9m; ARR 89.0m</x:v>
      </x:c>
      <x:c r="O23" s="58" t="str">
        <x:v>KNOS-FY26</x:v>
      </x:c>
      <x:c r="P23" s="58" t="str">
        <x:v>FCF aproximado: caja operativa neta menos capex; adquisición excluida</x:v>
      </x:c>
    </x:row>
    <x:row r="24" ht="92.4000015258789" hidden="0" customHeight="1">
      <x:c r="A24" s="58" t="str">
        <x:v>Plus500</x:v>
      </x:c>
      <x:c r="B24" s="58" t="str">
        <x:v>PLUS</x:v>
      </x:c>
      <x:c r="C24" s="58" t="str">
        <x:v>FY2025</x:v>
      </x:c>
      <x:c r="D24" s="58" t="str">
        <x:v>Anual</x:v>
      </x:c>
      <x:c r="E24" s="58" t="str">
        <x:v>USD</x:v>
      </x:c>
      <x:c r="F24" s="61" t="n">
        <x:v>792.4</x:v>
      </x:c>
      <x:c r="G24" s="63" t="n">
        <x:v>0.03</x:v>
      </x:c>
      <x:c r="H24" s="61" t="n">
        <x:v>348.1</x:v>
      </x:c>
      <x:c r="I24" s="63" t="n">
        <x:v>0.02</x:v>
      </x:c>
      <x:c r="J24" s="61" t="n">
        <x:v>281.3</x:v>
      </x:c>
      <x:c r="K24" s="61" t="n">
        <x:v>3.93</x:v>
      </x:c>
      <x:c r="L24" s="61" t="n">
        <x:v>280.1</x:v>
      </x:c>
      <x:c r="M24" s="61" t="n">
        <x:v>-801.6</x:v>
      </x:c>
      <x:c r="N24" s="58" t="str">
        <x:v>242,440 clientes activos; 39% del capital en treasury</x:v>
      </x:c>
      <x:c r="O24" s="58" t="str">
        <x:v>PLUS-FY25</x:v>
      </x:c>
      <x:c r="P24" s="58" t="str">
        <x:v>FCF aproximado: caja operativa neta menos capex</x:v>
      </x:c>
    </x:row>
    <x:row r="25" ht="105.5999984741211" hidden="0" customHeight="1">
      <x:c r="A25" s="58" t="str">
        <x:v>Plus500</x:v>
      </x:c>
      <x:c r="B25" s="58" t="str">
        <x:v>PLUS</x:v>
      </x:c>
      <x:c r="C25" s="58" t="str">
        <x:v>H1 FY2026</x:v>
      </x:c>
      <x:c r="D25" s="58" t="str">
        <x:v>Semestral</x:v>
      </x:c>
      <x:c r="E25" s="58" t="str">
        <x:v>USD</x:v>
      </x:c>
      <x:c r="F25" s="61" t="n">
        <x:v>462.9</x:v>
      </x:c>
      <x:c r="G25" s="63" t="n">
        <x:v>0.12</x:v>
      </x:c>
      <x:c r="H25" s="61" t="n">
        <x:v>187.5</x:v>
      </x:c>
      <x:c r="I25" s="63" t="n">
        <x:v>0.01</x:v>
      </x:c>
      <x:c r="J25" s="61"/>
      <x:c r="K25" s="61"/>
      <x:c r="L25" s="61"/>
      <x:c r="M25" s="61" t="n">
        <x:v>-850</x:v>
      </x:c>
      <x:c r="N25" s="58" t="str">
        <x:v>Customer Income 460.8m +24%; activos 197,294 +10%</x:v>
      </x:c>
      <x:c r="O25" s="58" t="str">
        <x:v>PLUS-H1-26</x:v>
      </x:c>
      <x:c r="P25" s="58" t="str">
        <x:v>Trading update; resultados H1 completos el 10-ago-2026</x:v>
      </x:c>
    </x:row>
  </x:sheetData>
  <x:mergeCells>
    <x:mergeCell ref="A1:P1"/>
    <x:mergeCell ref="A2:P2"/>
  </x:mergeCells>
  <x:conditionalFormatting sqref="G5:I25">
    <x:cfRule type="cellIs" dxfId="3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1271e200f643f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0" hidden="0" customWidth="1"/>
    <x:col min="4" max="4" width="27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19.200000762939453" hidden="0" customHeight="1">
      <x:c r="A1" s="34" t="str">
        <x:v>Plantilla de ficha de empresa</x:v>
      </x:c>
      <x:c r="B1" s="34" t="str">
        <x:v>Plantilla de ficha de empresa</x:v>
      </x:c>
      <x:c r="C1" s="34" t="str">
        <x:v>Plantilla de ficha de empresa</x:v>
      </x:c>
      <x:c r="D1" s="34" t="str">
        <x:v>Plantilla de ficha de empresa</x:v>
      </x:c>
      <x:c r="E1" s="34" t="str">
        <x:v>Plantilla de ficha de empresa</x:v>
      </x:c>
      <x:c r="F1" s="34" t="str">
        <x:v>Plantilla de ficha de empresa</x:v>
      </x:c>
      <x:c r="G1" s="34" t="str">
        <x:v>Plantilla de ficha de empresa</x:v>
      </x:c>
      <x:c r="H1" s="34" t="str">
        <x:v>Plantilla de ficha de empresa</x:v>
      </x:c>
    </x:row>
    <x:row r="2" ht="24" hidden="0" customHeight="1">
      <x:c r="A2" s="8" t="str">
        <x:v>Duplica esta hoja o úsala como formulario para una nueva idea. Las celdas azules son entradas; las negras son cálculos.</x:v>
      </x:c>
      <x:c r="B2" s="8" t="str">
        <x:v>Duplica esta hoja o úsala como formulario para una nueva idea. Las celdas azules son entradas; las negras son cálculos.</x:v>
      </x:c>
      <x:c r="C2" s="8" t="str">
        <x:v>Duplica esta hoja o úsala como formulario para una nueva idea. Las celdas azules son entradas; las negras son cálculos.</x:v>
      </x:c>
      <x:c r="D2" s="8" t="str">
        <x:v>Duplica esta hoja o úsala como formulario para una nueva idea. Las celdas azules son entradas; las negras son cálculos.</x:v>
      </x:c>
      <x:c r="E2" s="8" t="str">
        <x:v>Duplica esta hoja o úsala como formulario para una nueva idea. Las celdas azules son entradas; las negras son cálculos.</x:v>
      </x:c>
      <x:c r="F2" s="8" t="str">
        <x:v>Duplica esta hoja o úsala como formulario para una nueva idea. Las celdas azules son entradas; las negras son cálculos.</x:v>
      </x:c>
      <x:c r="G2" s="8" t="str">
        <x:v>Duplica esta hoja o úsala como formulario para una nueva idea. Las celdas azules son entradas; las negras son cálculos.</x:v>
      </x:c>
      <x:c r="H2" s="8" t="str">
        <x:v>Duplica esta hoja o úsala como formulario para una nueva idea. Las celdas azules son entradas; las negras son cálculos.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</x:row>
    <x:row r="4" ht="15" hidden="0" customHeight="1">
      <x:c r="A4" s="36" t="str">
        <x:v>Identificación</x:v>
      </x:c>
      <x:c r="B4" s="36" t="str">
        <x:v>Identificación</x:v>
      </x:c>
      <x:c r="C4" s="36" t="str">
        <x:v>Identificación</x:v>
      </x:c>
      <x:c r="D4" s="36" t="str">
        <x:v>Identificación</x:v>
      </x:c>
      <x:c r="E4" s="33"/>
      <x:c r="F4" s="33"/>
      <x:c r="G4" s="33"/>
      <x:c r="H4" s="33"/>
    </x:row>
    <x:row r="5" ht="15" hidden="0" customHeight="1">
      <x:c r="A5" s="35" t="str">
        <x:v>Empresa</x:v>
      </x:c>
      <x:c r="B5" s="58" t="str"/>
      <x:c r="C5" s="33"/>
      <x:c r="D5" s="33"/>
      <x:c r="E5" s="33"/>
      <x:c r="F5" s="33"/>
      <x:c r="G5" s="33"/>
      <x:c r="H5" s="33"/>
    </x:row>
    <x:row r="6" ht="15" hidden="0" customHeight="1">
      <x:c r="A6" s="35" t="str">
        <x:v>Ticker</x:v>
      </x:c>
      <x:c r="B6" s="58" t="str"/>
      <x:c r="C6" s="33"/>
      <x:c r="D6" s="33"/>
      <x:c r="E6" s="33"/>
      <x:c r="F6" s="33"/>
      <x:c r="G6" s="33"/>
      <x:c r="H6" s="33"/>
    </x:row>
    <x:row r="7" ht="15" hidden="0" customHeight="1">
      <x:c r="A7" s="35" t="str">
        <x:v>Bolsa</x:v>
      </x:c>
      <x:c r="B7" s="58" t="str"/>
      <x:c r="C7" s="33"/>
      <x:c r="D7" s="33"/>
      <x:c r="E7" s="33"/>
      <x:c r="F7" s="33"/>
      <x:c r="G7" s="33"/>
      <x:c r="H7" s="33"/>
    </x:row>
    <x:row r="8" ht="15" hidden="0" customHeight="1">
      <x:c r="A8" s="35" t="str">
        <x:v>Tipo</x:v>
      </x:c>
      <x:c r="B8" s="58" t="str"/>
      <x:c r="C8" s="33"/>
      <x:c r="D8" s="33"/>
      <x:c r="E8" s="33"/>
      <x:c r="F8" s="33"/>
      <x:c r="G8" s="33"/>
      <x:c r="H8" s="33"/>
    </x:row>
    <x:row r="9" ht="26.399999618530273" hidden="0" customHeight="1">
      <x:c r="A9" s="35" t="str">
        <x:v>Fecha de análisis</x:v>
      </x:c>
      <x:c r="B9" s="59" t="n">
        <x:v>46238</x:v>
      </x:c>
      <x:c r="C9" s="33"/>
      <x:c r="D9" s="33"/>
      <x:c r="E9" s="33"/>
      <x:c r="F9" s="33"/>
      <x:c r="G9" s="33"/>
      <x:c r="H9" s="33"/>
    </x:row>
    <x:row r="10" ht="26.399999618530273" hidden="0" customHeight="1">
      <x:c r="A10" s="35" t="str">
        <x:v>Fuente principal</x:v>
      </x:c>
      <x:c r="B10" s="58" t="str"/>
      <x:c r="C10" s="33"/>
      <x:c r="D10" s="33"/>
      <x:c r="E10" s="33"/>
      <x:c r="F10" s="33"/>
      <x:c r="G10" s="33"/>
      <x:c r="H10" s="33"/>
    </x:row>
    <x:row r="11" ht="15" hidden="0" customHeight="1">
      <x:c r="A11" s="33"/>
      <x:c r="B11" s="33"/>
      <x:c r="C11" s="33"/>
      <x:c r="D11" s="33"/>
      <x:c r="E11" s="33"/>
      <x:c r="F11" s="33"/>
      <x:c r="G11" s="33"/>
      <x:c r="H11" s="33"/>
    </x:row>
    <x:row r="12" ht="15" hidden="0" customHeight="1">
      <x:c r="A12" s="36" t="str">
        <x:v>Valoración y caja</x:v>
      </x:c>
      <x:c r="B12" s="36" t="str">
        <x:v>Valoración y caja</x:v>
      </x:c>
      <x:c r="C12" s="36" t="str">
        <x:v>Valoración y caja</x:v>
      </x:c>
      <x:c r="D12" s="36" t="str">
        <x:v>Tesis Lynch</x:v>
      </x:c>
      <x:c r="E12" s="36" t="str">
        <x:v>Tesis Lynch</x:v>
      </x:c>
      <x:c r="F12" s="36" t="str">
        <x:v>Tesis Lynch</x:v>
      </x:c>
      <x:c r="G12" s="36" t="str">
        <x:v>Tesis Lynch</x:v>
      </x:c>
      <x:c r="H12" s="36" t="str">
        <x:v>Tesis Lynch</x:v>
      </x:c>
    </x:row>
    <x:row r="13" ht="26.399999618530273" hidden="0" customHeight="1">
      <x:c r="A13" s="35" t="str">
        <x:v>Precio</x:v>
      </x:c>
      <x:c r="B13" s="60" t="str"/>
      <x:c r="C13" s="33"/>
      <x:c r="D13" s="35" t="str">
        <x:v>¿Qué hace?</x:v>
      </x:c>
      <x:c r="E13" s="96" t="str"/>
      <x:c r="F13" s="96" t="str"/>
      <x:c r="G13" s="96" t="str"/>
      <x:c r="H13" s="96" t="str"/>
    </x:row>
    <x:row r="14" ht="39.599998474121094" hidden="0" customHeight="1">
      <x:c r="A14" s="35" t="str">
        <x:v>EPS</x:v>
      </x:c>
      <x:c r="B14" s="60" t="str"/>
      <x:c r="C14" s="33"/>
      <x:c r="D14" s="35" t="str">
        <x:v>¿Por qué puede crecer?</x:v>
      </x:c>
      <x:c r="E14" s="96" t="str"/>
      <x:c r="F14" s="96" t="str"/>
      <x:c r="G14" s="96" t="str"/>
      <x:c r="H14" s="96" t="str"/>
    </x:row>
    <x:row r="15" ht="52.79999923706055" hidden="0" customHeight="1">
      <x:c r="A15" s="35" t="str">
        <x:v>PER calculado</x:v>
      </x:c>
      <x:c r="B15" s="97" t="str">
        <x:f>IFERROR(B13/B14,"")</x:f>
      </x:c>
      <x:c r="C15" s="33"/>
      <x:c r="D15" s="35" t="str">
        <x:v>¿Cuál es el catalizador?</x:v>
      </x:c>
      <x:c r="E15" s="96" t="str"/>
      <x:c r="F15" s="96" t="str"/>
      <x:c r="G15" s="96" t="str"/>
      <x:c r="H15" s="96" t="str"/>
    </x:row>
    <x:row r="16" ht="39.599998474121094" hidden="0" customHeight="1">
      <x:c r="A16" s="35" t="str">
        <x:v>Crec. beneficios</x:v>
      </x:c>
      <x:c r="B16" s="63" t="str"/>
      <x:c r="C16" s="33"/>
      <x:c r="D16" s="35" t="str">
        <x:v>¿Qué puede salir mal?</x:v>
      </x:c>
      <x:c r="E16" s="96" t="str"/>
      <x:c r="F16" s="96" t="str"/>
      <x:c r="G16" s="96" t="str"/>
      <x:c r="H16" s="96" t="str"/>
    </x:row>
    <x:row r="17" ht="66" hidden="0" customHeight="1">
      <x:c r="A17" s="35" t="str">
        <x:v>PEG heurístico</x:v>
      </x:c>
      <x:c r="B17" s="64" t="str">
        <x:f>IF(AND(B15&gt;0,B16&gt;0),B15/(B16*100),"")</x:f>
      </x:c>
      <x:c r="C17" s="33"/>
      <x:c r="D17" s="35" t="str">
        <x:v>¿Qué precio sería razonable?</x:v>
      </x:c>
      <x:c r="E17" s="96" t="str"/>
      <x:c r="F17" s="96" t="str"/>
      <x:c r="G17" s="96" t="str"/>
      <x:c r="H17" s="96" t="str"/>
    </x:row>
    <x:row r="18" ht="39.599998474121094" hidden="0" customHeight="1">
      <x:c r="A18" s="35" t="str">
        <x:v>FCF</x:v>
      </x:c>
      <x:c r="B18" s="61" t="str"/>
      <x:c r="C18" s="33"/>
      <x:c r="D18" s="35" t="str">
        <x:v>¿Qué dato invalida la tesis?</x:v>
      </x:c>
      <x:c r="E18" s="96" t="str"/>
      <x:c r="F18" s="96" t="str"/>
      <x:c r="G18" s="96" t="str"/>
      <x:c r="H18" s="96" t="str"/>
    </x:row>
    <x:row r="19" ht="39.599998474121094" hidden="0" customHeight="1">
      <x:c r="A19" s="35" t="str">
        <x:v>Capitalización</x:v>
      </x:c>
      <x:c r="B19" s="61" t="str"/>
      <x:c r="C19" s="33"/>
      <x:c r="D19" s="35" t="str">
        <x:v>¿Qué dice la dirección?</x:v>
      </x:c>
      <x:c r="E19" s="96" t="str"/>
      <x:c r="F19" s="96" t="str"/>
      <x:c r="G19" s="96" t="str"/>
      <x:c r="H19" s="96" t="str"/>
    </x:row>
    <x:row r="20" ht="66" hidden="0" customHeight="1">
      <x:c r="A20" s="35" t="str">
        <x:v>FCF yield</x:v>
      </x:c>
      <x:c r="B20" s="98" t="str">
        <x:f>IFERROR(B18/B19,"")</x:f>
      </x:c>
      <x:c r="C20" s="33"/>
      <x:c r="D20" s="35" t="str">
        <x:v>¿Qué dicen insiders/accionistas?</x:v>
      </x:c>
      <x:c r="E20" s="96" t="str"/>
      <x:c r="F20" s="96" t="str"/>
      <x:c r="G20" s="96" t="str"/>
      <x:c r="H20" s="96" t="str"/>
    </x:row>
    <x:row r="21" ht="39.599998474121094" hidden="0" customHeight="1">
      <x:c r="A21" s="35" t="str">
        <x:v>Deuda neta (+) / caja (-)</x:v>
      </x:c>
      <x:c r="B21" s="61" t="str"/>
      <x:c r="C21" s="33"/>
      <x:c r="D21" s="35" t="str">
        <x:v>Próxima revisión</x:v>
      </x:c>
      <x:c r="E21" s="99" t="str"/>
      <x:c r="F21" s="96" t="str"/>
      <x:c r="G21" s="96" t="str"/>
      <x:c r="H21" s="96" t="str"/>
    </x:row>
    <x:row r="22" ht="15" hidden="0" customHeight="1">
      <x:c r="A22" s="33"/>
      <x:c r="B22" s="33"/>
      <x:c r="C22" s="33"/>
      <x:c r="D22" s="33"/>
      <x:c r="E22" s="33"/>
      <x:c r="F22" s="33"/>
      <x:c r="G22" s="33"/>
      <x:c r="H22" s="33"/>
    </x:row>
    <x:row r="23" ht="15" hidden="0" customHeight="1">
      <x:c r="A23" s="33"/>
      <x:c r="B23" s="33"/>
      <x:c r="C23" s="33"/>
      <x:c r="D23" s="33"/>
      <x:c r="E23" s="33"/>
      <x:c r="F23" s="33"/>
      <x:c r="G23" s="33"/>
      <x:c r="H23" s="33"/>
    </x:row>
    <x:row r="24" ht="15" hidden="0" customHeight="1">
      <x:c r="A24" s="36" t="str">
        <x:v>Checklist rápida</x:v>
      </x:c>
      <x:c r="B24" s="36" t="str">
        <x:v>Checklist rápida</x:v>
      </x:c>
      <x:c r="C24" s="36" t="str">
        <x:v>Checklist rápida</x:v>
      </x:c>
      <x:c r="D24" s="36" t="str">
        <x:v>Checklist rápida</x:v>
      </x:c>
      <x:c r="E24" s="36" t="str">
        <x:v>Checklist rápida</x:v>
      </x:c>
      <x:c r="F24" s="36" t="str">
        <x:v>Checklist rápida</x:v>
      </x:c>
      <x:c r="G24" s="36" t="str">
        <x:v>Checklist rápida</x:v>
      </x:c>
      <x:c r="H24" s="36" t="str">
        <x:v>Checklist rápida</x:v>
      </x:c>
    </x:row>
    <x:row r="25" ht="24" hidden="0" customHeight="1">
      <x:c r="A25" s="20" t="str">
        <x:v>Criterio</x:v>
      </x:c>
      <x:c r="B25" s="20" t="str">
        <x:v>Puntos</x:v>
      </x:c>
      <x:c r="C25" s="20" t="str">
        <x:v>Comentario</x:v>
      </x:c>
      <x:c r="D25" s="20" t="str"/>
      <x:c r="E25" s="20" t="str"/>
      <x:c r="F25" s="20" t="str"/>
      <x:c r="G25" s="20" t="str"/>
      <x:c r="H25" s="20" t="str"/>
    </x:row>
    <x:row r="26" ht="39.599998474121094" hidden="0" customHeight="1">
      <x:c r="A26" s="58" t="str">
        <x:v>Negocio comprensible</x:v>
      </x:c>
      <x:c r="B26" s="75" t="str"/>
      <x:c r="C26" s="100" t="str"/>
      <x:c r="D26" s="100" t="str"/>
      <x:c r="E26" s="100" t="str"/>
      <x:c r="F26" s="100" t="str"/>
      <x:c r="G26" s="100" t="str"/>
      <x:c r="H26" s="100" t="str"/>
    </x:row>
    <x:row r="27" ht="39.599998474121094" hidden="0" customHeight="1">
      <x:c r="A27" s="58" t="str">
        <x:v>Historia / catalizador</x:v>
      </x:c>
      <x:c r="B27" s="75" t="str"/>
      <x:c r="C27" s="100" t="str"/>
      <x:c r="D27" s="100" t="str"/>
      <x:c r="E27" s="100" t="str"/>
      <x:c r="F27" s="100" t="str"/>
      <x:c r="G27" s="100" t="str"/>
      <x:c r="H27" s="100"/>
    </x:row>
    <x:row r="28" ht="26.399999618530273" hidden="0" customHeight="1">
      <x:c r="A28" s="58" t="str">
        <x:v>Crecimiento</x:v>
      </x:c>
      <x:c r="B28" s="75" t="str"/>
      <x:c r="C28" s="100" t="str"/>
      <x:c r="D28" s="100" t="str"/>
      <x:c r="E28" s="100" t="str"/>
      <x:c r="F28" s="100" t="str"/>
      <x:c r="G28" s="100" t="str"/>
      <x:c r="H28" s="100"/>
    </x:row>
    <x:row r="29" ht="15" hidden="0" customHeight="1">
      <x:c r="A29" s="58" t="str">
        <x:v>Valoración</x:v>
      </x:c>
      <x:c r="B29" s="75" t="str"/>
      <x:c r="C29" s="100" t="str"/>
      <x:c r="D29" s="100" t="str"/>
      <x:c r="E29" s="100" t="str"/>
      <x:c r="F29" s="100" t="str"/>
      <x:c r="G29" s="100" t="str"/>
      <x:c r="H29" s="100"/>
    </x:row>
    <x:row r="30" ht="26.399999618530273" hidden="0" customHeight="1">
      <x:c r="A30" s="58" t="str">
        <x:v>Balance / caja</x:v>
      </x:c>
      <x:c r="B30" s="75" t="str"/>
      <x:c r="C30" s="100" t="str"/>
      <x:c r="D30" s="100" t="str"/>
      <x:c r="E30" s="100" t="str"/>
      <x:c r="F30" s="100" t="str"/>
      <x:c r="G30" s="100" t="str"/>
      <x:c r="H30" s="100"/>
    </x:row>
    <x:row r="31" ht="39.599998474121094" hidden="0" customHeight="1">
      <x:c r="A31" s="58" t="str">
        <x:v>Riesgos manejables</x:v>
      </x:c>
      <x:c r="B31" s="75" t="str"/>
      <x:c r="C31" s="100" t="str"/>
      <x:c r="D31" s="100" t="str"/>
      <x:c r="E31" s="100" t="str"/>
      <x:c r="F31" s="100" t="str"/>
      <x:c r="G31" s="100" t="str"/>
      <x:c r="H31" s="100"/>
    </x:row>
    <x:row r="32" ht="15" hidden="0" customHeight="1">
      <x:c r="A32" s="33"/>
      <x:c r="B32" s="33"/>
      <x:c r="C32" s="33"/>
      <x:c r="D32" s="33"/>
      <x:c r="E32" s="33"/>
      <x:c r="F32" s="33"/>
      <x:c r="G32" s="33"/>
      <x:c r="H32" s="33"/>
    </x:row>
    <x:row r="33" ht="26.399999618530273" hidden="0" customHeight="1">
      <x:c r="A33" s="35" t="str">
        <x:v>Nota</x:v>
      </x:c>
      <x:c r="B33" s="33" t="str">
        <x:v>Escribe siempre la condición de compra, el precio de entrada y el punto de salida por tesis rota.</x:v>
      </x:c>
      <x:c r="C33" s="33" t="str"/>
      <x:c r="D33" s="33" t="str"/>
      <x:c r="E33" s="33" t="str"/>
      <x:c r="F33" s="33" t="str"/>
      <x:c r="G33" s="33" t="str"/>
      <x:c r="H33" s="33" t="str"/>
    </x:row>
    <x:row r="34" ht="15" hidden="0" customHeight="1">
      <x:c r="A34" s="35" t="str">
        <x:v>Fuente</x:v>
      </x:c>
      <x:c r="B34" s="33" t="str">
        <x:v>No dejes una cifra sin enlace, fecha y moneda.</x:v>
      </x:c>
      <x:c r="C34" s="33" t="str"/>
      <x:c r="D34" s="33" t="str"/>
      <x:c r="E34" s="33" t="str"/>
      <x:c r="F34" s="33" t="str"/>
      <x:c r="G34" s="33" t="str"/>
      <x:c r="H34" s="33" t="str"/>
    </x:row>
    <x:row r="35" ht="15" hidden="0" customHeight="1">
      <x:c r="A35" s="33"/>
      <x:c r="B35" s="33"/>
      <x:c r="C35" s="33"/>
      <x:c r="D35" s="33"/>
      <x:c r="E35" s="33"/>
      <x:c r="F35" s="33"/>
      <x:c r="G35" s="33"/>
      <x:c r="H35" s="33"/>
    </x:row>
    <x:row r="36" ht="15" hidden="0" customHeight="1">
      <x:c r="A36" s="36" t="str">
        <x:v>Las 13 señales de una empresa atractiva — completar con evidencia</x:v>
      </x:c>
      <x:c r="B36" s="36" t="str">
        <x:v>Las 13 señales de una empresa atractiva — completar con evidencia</x:v>
      </x:c>
      <x:c r="C36" s="36" t="str">
        <x:v>Las 13 señales de una empresa atractiva — completar con evidencia</x:v>
      </x:c>
      <x:c r="D36" s="36" t="str">
        <x:v>Las 13 señales de una empresa atractiva — completar con evidencia</x:v>
      </x:c>
      <x:c r="E36" s="36" t="str">
        <x:v>Las 13 señales de una empresa atractiva — completar con evidencia</x:v>
      </x:c>
      <x:c r="F36" s="36" t="str">
        <x:v>Las 13 señales de una empresa atractiva — completar con evidencia</x:v>
      </x:c>
      <x:c r="G36" s="36" t="str">
        <x:v>Las 13 señales de una empresa atractiva — completar con evidencia</x:v>
      </x:c>
      <x:c r="H36" s="36" t="str">
        <x:v>Las 13 señales de una empresa atractiva — completar con evidencia</x:v>
      </x:c>
    </x:row>
    <x:row r="37" ht="48" hidden="0" customHeight="1">
      <x:c r="A37" s="20" t="str">
        <x:v>#</x:v>
      </x:c>
      <x:c r="B37" s="20" t="str">
        <x:v>Criterio Lynch (parafraseado)</x:v>
      </x:c>
      <x:c r="C37" s="20" t="str">
        <x:v>Evidencia / enlace</x:v>
      </x:c>
      <x:c r="D37" s="20" t="str"/>
      <x:c r="E37" s="20" t="str"/>
      <x:c r="F37" s="20" t="str"/>
      <x:c r="G37" s="20" t="str"/>
      <x:c r="H37" s="20" t="str"/>
    </x:row>
    <x:row r="38" ht="92.4000015258789" hidden="0" customHeight="1">
      <x:c r="A38" s="77" t="n">
        <x:v>1</x:v>
      </x:c>
      <x:c r="B38" s="28" t="str">
        <x:v>Nombre o historia poco glamourosa, fácil de pasar por alto.</x:v>
      </x:c>
      <x:c r="C38" s="96" t="str"/>
      <x:c r="D38" s="96" t="str"/>
      <x:c r="E38" s="96" t="str"/>
      <x:c r="F38" s="96" t="str"/>
      <x:c r="G38" s="96" t="str"/>
      <x:c r="H38" s="96" t="str"/>
    </x:row>
    <x:row r="39" ht="66" hidden="0" customHeight="1">
      <x:c r="A39" s="77" t="n">
        <x:v>2</x:v>
      </x:c>
      <x:c r="B39" s="28" t="str">
        <x:v>Hace algo aburrido, rutinario o poco mediático.</x:v>
      </x:c>
      <x:c r="C39" s="96" t="str"/>
      <x:c r="D39" s="96" t="str"/>
      <x:c r="E39" s="96" t="str"/>
      <x:c r="F39" s="96" t="str"/>
      <x:c r="G39" s="96" t="str"/>
      <x:c r="H39" s="96" t="str"/>
    </x:row>
    <x:row r="40" ht="105.5999984741211" hidden="0" customHeight="1">
      <x:c r="A40" s="77" t="n">
        <x:v>3</x:v>
      </x:c>
      <x:c r="B40" s="28" t="str">
        <x:v>Hace algo desagradable que mantiene alejados a los competidores.</x:v>
      </x:c>
      <x:c r="C40" s="96" t="str"/>
      <x:c r="D40" s="96" t="str"/>
      <x:c r="E40" s="96" t="str"/>
      <x:c r="F40" s="96" t="str"/>
      <x:c r="G40" s="96" t="str"/>
      <x:c r="H40" s="96" t="str"/>
    </x:row>
    <x:row r="41" ht="92.4000015258789" hidden="0" customHeight="1">
      <x:c r="A41" s="77" t="n">
        <x:v>4</x:v>
      </x:c>
      <x:c r="B41" s="28" t="str">
        <x:v>Es una escisión reciente o una parte separada de otra empresa.</x:v>
      </x:c>
      <x:c r="C41" s="96" t="str"/>
      <x:c r="D41" s="96" t="str"/>
      <x:c r="E41" s="96" t="str"/>
      <x:c r="F41" s="96" t="str"/>
      <x:c r="G41" s="96" t="str"/>
      <x:c r="H41" s="96" t="str"/>
    </x:row>
    <x:row r="42" ht="105.5999984741211" hidden="0" customHeight="1">
      <x:c r="A42" s="77" t="n">
        <x:v>5</x:v>
      </x:c>
      <x:c r="B42" s="28" t="str">
        <x:v>Tiene poca cobertura institucional o pocos analistas siguiéndola.</x:v>
      </x:c>
      <x:c r="C42" s="96" t="str"/>
      <x:c r="D42" s="96" t="str"/>
      <x:c r="E42" s="96" t="str"/>
      <x:c r="F42" s="96" t="str"/>
      <x:c r="G42" s="96" t="str"/>
      <x:c r="H42" s="96" t="str"/>
    </x:row>
    <x:row r="43" ht="132" hidden="0" customHeight="1">
      <x:c r="A43" s="77" t="n">
        <x:v>6</x:v>
      </x:c>
      <x:c r="B43" s="28" t="str">
        <x:v>Arrastra rumores o un estigma que puede mantener baja la valoración.</x:v>
      </x:c>
      <x:c r="C43" s="96" t="str"/>
      <x:c r="D43" s="96" t="str"/>
      <x:c r="E43" s="96" t="str"/>
      <x:c r="F43" s="96" t="str"/>
      <x:c r="G43" s="96" t="str"/>
      <x:c r="H43" s="96" t="str"/>
    </x:row>
    <x:row r="44" ht="92.4000015258789" hidden="0" customHeight="1">
      <x:c r="A44" s="77" t="n">
        <x:v>7</x:v>
      </x:c>
      <x:c r="B44" s="28" t="str">
        <x:v>Opera en un sector deprimente o impopular, pero necesario.</x:v>
      </x:c>
      <x:c r="C44" s="96" t="str"/>
      <x:c r="D44" s="96" t="str"/>
      <x:c r="E44" s="96" t="str"/>
      <x:c r="F44" s="96" t="str"/>
      <x:c r="G44" s="96" t="str"/>
      <x:c r="H44" s="96" t="str"/>
    </x:row>
    <x:row r="45" ht="105.5999984741211" hidden="0" customHeight="1">
      <x:c r="A45" s="77" t="n">
        <x:v>8</x:v>
      </x:c>
      <x:c r="B45" s="28" t="str">
        <x:v>Está en un sector de poco crecimiento donde aún puede ganar cuota.</x:v>
      </x:c>
      <x:c r="C45" s="96" t="str"/>
      <x:c r="D45" s="96" t="str"/>
      <x:c r="E45" s="96" t="str"/>
      <x:c r="F45" s="96" t="str"/>
      <x:c r="G45" s="96" t="str"/>
      <x:c r="H45" s="96" t="str"/>
    </x:row>
    <x:row r="46" ht="105.5999984741211" hidden="0" customHeight="1">
      <x:c r="A46" s="77" t="n">
        <x:v>9</x:v>
      </x:c>
      <x:c r="B46" s="28" t="str">
        <x:v>Tiene un nicho, franquicia, marca, licencia o ventaja difícil de replicar.</x:v>
      </x:c>
      <x:c r="C46" s="96" t="str"/>
      <x:c r="D46" s="96" t="str"/>
      <x:c r="E46" s="96" t="str"/>
      <x:c r="F46" s="96" t="str"/>
      <x:c r="G46" s="96" t="str"/>
      <x:c r="H46" s="96" t="str"/>
    </x:row>
    <x:row r="47" ht="118.80000305175781" hidden="0" customHeight="1">
      <x:c r="A47" s="77" t="n">
        <x:v>10</x:v>
      </x:c>
      <x:c r="B47" s="28" t="str">
        <x:v>El cliente vuelve a comprar el producto/servicio de forma recurrente.</x:v>
      </x:c>
      <x:c r="C47" s="96" t="str"/>
      <x:c r="D47" s="96" t="str"/>
      <x:c r="E47" s="96" t="str"/>
      <x:c r="F47" s="96" t="str"/>
      <x:c r="G47" s="96" t="str"/>
      <x:c r="H47" s="96" t="str"/>
    </x:row>
    <x:row r="48" ht="118.80000305175781" hidden="0" customHeight="1">
      <x:c r="A48" s="77" t="n">
        <x:v>11</x:v>
      </x:c>
      <x:c r="B48" s="28" t="str">
        <x:v>Usa la tecnología para ahorrar costes o mejorar un negocio sencillo.</x:v>
      </x:c>
      <x:c r="C48" s="96" t="str"/>
      <x:c r="D48" s="96" t="str"/>
      <x:c r="E48" s="96" t="str"/>
      <x:c r="F48" s="96" t="str"/>
      <x:c r="G48" s="96" t="str"/>
      <x:c r="H48" s="96" t="str"/>
    </x:row>
    <x:row r="49" ht="118.80000305175781" hidden="0" customHeight="1">
      <x:c r="A49" s="77" t="n">
        <x:v>12</x:v>
      </x:c>
      <x:c r="B49" s="28" t="str">
        <x:v>La gente de dentro compra acciones y está alineada con accionistas.</x:v>
      </x:c>
      <x:c r="C49" s="96" t="str"/>
      <x:c r="D49" s="96" t="str"/>
      <x:c r="E49" s="96" t="str"/>
      <x:c r="F49" s="96" t="str"/>
      <x:c r="G49" s="96" t="str"/>
      <x:c r="H49" s="96" t="str"/>
    </x:row>
    <x:row r="50" ht="105.5999984741211" hidden="0" customHeight="1">
      <x:c r="A50" s="77" t="n">
        <x:v>13</x:v>
      </x:c>
      <x:c r="B50" s="28" t="str">
        <x:v>Recompra acciones de forma efectiva y evita la dilución innecesaria.</x:v>
      </x:c>
      <x:c r="C50" s="96" t="str"/>
      <x:c r="D50" s="96" t="str"/>
      <x:c r="E50" s="96" t="str"/>
      <x:c r="F50" s="96" t="str"/>
      <x:c r="G50" s="96" t="str"/>
      <x:c r="H50" s="96" t="str"/>
    </x:row>
  </x:sheetData>
  <x:mergeCells>
    <x:mergeCell ref="A1:H1"/>
    <x:mergeCell ref="A2:H2"/>
    <x:mergeCell ref="A4:D4"/>
    <x:mergeCell ref="A12:D12"/>
    <x:mergeCell ref="D12:H12"/>
    <x:mergeCell ref="E13:H13"/>
    <x:mergeCell ref="E14:H14"/>
    <x:mergeCell ref="E15:H15"/>
    <x:mergeCell ref="E16:H16"/>
    <x:mergeCell ref="E17:H17"/>
    <x:mergeCell ref="E18:H18"/>
    <x:mergeCell ref="E19:H19"/>
    <x:mergeCell ref="E20:H20"/>
    <x:mergeCell ref="E21:H21"/>
    <x:mergeCell ref="A24:H24"/>
    <x:mergeCell ref="C26:H26"/>
    <x:mergeCell ref="C27:H27"/>
    <x:mergeCell ref="C28:H28"/>
    <x:mergeCell ref="C29:H29"/>
    <x:mergeCell ref="C30:H30"/>
    <x:mergeCell ref="C31:H31"/>
    <x:mergeCell ref="B33:H33"/>
    <x:mergeCell ref="B34:H34"/>
    <x:mergeCell ref="A36:H36"/>
    <x:mergeCell ref="C38:H38"/>
    <x:mergeCell ref="C39:H39"/>
    <x:mergeCell ref="C40:H40"/>
    <x:mergeCell ref="C41:H41"/>
    <x:mergeCell ref="C42:H42"/>
    <x:mergeCell ref="C43:H43"/>
    <x:mergeCell ref="C44:H44"/>
    <x:mergeCell ref="C45:H45"/>
    <x:mergeCell ref="C46:H46"/>
    <x:mergeCell ref="C47:H47"/>
    <x:mergeCell ref="C48:H48"/>
    <x:mergeCell ref="C49:H49"/>
    <x:mergeCell ref="C50:H50"/>
  </x:mergeCells>
  <x:dataValidations count="1">
    <x:dataValidation operator="between" sqref="B26:B31">
      <x:formula1>0</x:formula1>
      <x:formula2>2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2" hidden="0" customWidth="1"/>
    <x:col min="4" max="4" width="18" hidden="0" customWidth="1"/>
    <x:col min="5" max="5" width="42" hidden="0" customWidth="1"/>
    <x:col min="6" max="6" width="72" hidden="0" customWidth="1"/>
    <x:col min="7" max="7" width="42" hidden="0" customWidth="1"/>
  </x:cols>
  <x:sheetData>
    <x:row r="1" ht="19.200000762939453" hidden="0" customHeight="1">
      <x:c r="A1" s="34" t="str">
        <x:v>Fuentes y auditoría</x:v>
      </x:c>
      <x:c r="B1" s="34" t="str">
        <x:v>Fuentes y auditoría</x:v>
      </x:c>
      <x:c r="C1" s="34" t="str">
        <x:v>Fuentes y auditoría</x:v>
      </x:c>
      <x:c r="D1" s="34" t="str">
        <x:v>Fuentes y auditoría</x:v>
      </x:c>
      <x:c r="E1" s="34" t="str">
        <x:v>Fuentes y auditoría</x:v>
      </x:c>
      <x:c r="F1" s="34" t="str">
        <x:v>Fuentes y auditoría</x:v>
      </x:c>
      <x:c r="G1" s="34" t="str">
        <x:v>Fuentes y auditoría</x:v>
      </x:c>
    </x:row>
    <x:row r="2" ht="24" hidden="0" customHeight="1">
      <x:c r="A2" s="8" t="str">
        <x:v>Fuente de mercado = cotización/ratios de la fecha de corte. Fuente de resultados = comunicado, informe o SEC. Prioriza las fuentes oficiales para actualizar.</x:v>
      </x:c>
      <x:c r="B2" s="8" t="str">
        <x:v>Fuente de mercado = cotización/ratios de la fecha de corte. Fuente de resultados = comunicado, informe o SEC. Prioriza las fuentes oficiales para actualizar.</x:v>
      </x:c>
      <x:c r="C2" s="8" t="str">
        <x:v>Fuente de mercado = cotización/ratios de la fecha de corte. Fuente de resultados = comunicado, informe o SEC. Prioriza las fuentes oficiales para actualizar.</x:v>
      </x:c>
      <x:c r="D2" s="8" t="str">
        <x:v>Fuente de mercado = cotización/ratios de la fecha de corte. Fuente de resultados = comunicado, informe o SEC. Prioriza las fuentes oficiales para actualizar.</x:v>
      </x:c>
      <x:c r="E2" s="8" t="str">
        <x:v>Fuente de mercado = cotización/ratios de la fecha de corte. Fuente de resultados = comunicado, informe o SEC. Prioriza las fuentes oficiales para actualizar.</x:v>
      </x:c>
      <x:c r="F2" s="8" t="str">
        <x:v>Fuente de mercado = cotización/ratios de la fecha de corte. Fuente de resultados = comunicado, informe o SEC. Prioriza las fuentes oficiales para actualizar.</x:v>
      </x:c>
      <x:c r="G2" s="8" t="str">
        <x:v>Fuente de mercado = cotización/ratios de la fecha de corte. Fuente de resultados = comunicado, informe o SEC. Prioriza las fuentes oficiales para actualizar.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</x:row>
    <x:row r="4" ht="36" hidden="0" customHeight="1">
      <x:c r="A4" s="20" t="str">
        <x:v>Fuente ID</x:v>
      </x:c>
      <x:c r="B4" s="20" t="str">
        <x:v>Empresa</x:v>
      </x:c>
      <x:c r="C4" s="20" t="str">
        <x:v>Fecha</x:v>
      </x:c>
      <x:c r="D4" s="20" t="str">
        <x:v>Tipo</x:v>
      </x:c>
      <x:c r="E4" s="20" t="str">
        <x:v>Qué respalda</x:v>
      </x:c>
      <x:c r="F4" s="20" t="str">
        <x:v>URL</x:v>
      </x:c>
      <x:c r="G4" s="20" t="str">
        <x:v>Nota de calidad / uso</x:v>
      </x:c>
    </x:row>
    <x:row r="5" ht="145.1999969482422" hidden="0" customHeight="1">
      <x:c r="A5" s="58" t="str">
        <x:v>ATYM-MKT</x:v>
      </x:c>
      <x:c r="B5" s="58" t="str">
        <x:v>Atalaya Mining</x:v>
      </x:c>
      <x:c r="C5" s="59" t="n">
        <x:v>46238</x:v>
      </x:c>
      <x:c r="D5" s="58" t="str">
        <x:v>Mercado</x:v>
      </x:c>
      <x:c r="E5" s="58" t="str">
        <x:v>Precio, capitalización, PER, EPS, dividendo</x:v>
      </x:c>
      <x:c r="F5" s="40" t="str">
        <x:v>https://www.lse.co.uk/SharePrice.html?mobile_view=desktop&amp;share=Atalaya-Mining&amp;shareprice=ATYM</x:v>
      </x:c>
      <x:c r="G5" s="58" t="str">
        <x:v>Snapshot de mercado; actualizar antes de decidir.</x:v>
      </x:c>
    </x:row>
    <x:row r="6" ht="171.60000610351562" hidden="0" customHeight="1">
      <x:c r="A6" s="58" t="str">
        <x:v>ATYM-FY25</x:v>
      </x:c>
      <x:c r="B6" s="58" t="str">
        <x:v>Atalaya Mining</x:v>
      </x:c>
      <x:c r="C6" s="59" t="n">
        <x:v>46100</x:v>
      </x:c>
      <x:c r="D6" s="58" t="str">
        <x:v>Resultados</x:v>
      </x:c>
      <x:c r="E6" s="58" t="str">
        <x:v>FY25 ventas, EBITDA, beneficio, FCF y caja</x:v>
      </x:c>
      <x:c r="F6" s="40" t="str">
        <x:v>https://wp-atalaya-mining-2022.s3.eu-west-2.amazonaws.com/media/2026/03/2026.03.19-ATYM_RNS-2025-Annual-Results-vF.pdf</x:v>
      </x:c>
      <x:c r="G6" s="58" t="str">
        <x:v>Informe anual oficial.</x:v>
      </x:c>
    </x:row>
    <x:row r="7" ht="118.80000305175781" hidden="0" customHeight="1">
      <x:c r="A7" s="58" t="str">
        <x:v>ATYM-Q2-26</x:v>
      </x:c>
      <x:c r="B7" s="58" t="str">
        <x:v>Atalaya Mining</x:v>
      </x:c>
      <x:c r="C7" s="59" t="n">
        <x:v>46231</x:v>
      </x:c>
      <x:c r="D7" s="58" t="str">
        <x:v>Operativo</x:v>
      </x:c>
      <x:c r="E7" s="58" t="str">
        <x:v>Producción Q2, inventario y caja neta</x:v>
      </x:c>
      <x:c r="F7" s="40" t="str">
        <x:v>https://www.lse.co.uk/rns/ATYM/q2-2026-operations-update-bdqqmb3wkhfb7d1.html</x:v>
      </x:c>
      <x:c r="G7" s="58" t="str">
        <x:v>Usar también la corrección posterior del mismo comunicado.</x:v>
      </x:c>
    </x:row>
    <x:row r="8" ht="92.4000015258789" hidden="0" customHeight="1">
      <x:c r="A8" s="58" t="str">
        <x:v>ATYM-OWN</x:v>
      </x:c>
      <x:c r="B8" s="58" t="str">
        <x:v>Atalaya Mining</x:v>
      </x:c>
      <x:c r="C8" s="59" t="n">
        <x:v>46238</x:v>
      </x:c>
      <x:c r="D8" s="58" t="str">
        <x:v>Ownership</x:v>
      </x:c>
      <x:c r="E8" s="58" t="str">
        <x:v>Accionistas significativos</x:v>
      </x:c>
      <x:c r="F8" s="40" t="str">
        <x:v>https://atalayamining.com/es/inversores/informacion-accionarial/</x:v>
      </x:c>
      <x:c r="G8" s="58" t="str">
        <x:v>Comprobar cambios de participaciones.</x:v>
      </x:c>
    </x:row>
    <x:row r="9" ht="105.5999984741211" hidden="0" customHeight="1">
      <x:c r="A9" s="58" t="str">
        <x:v>RIO-MKT</x:v>
      </x:c>
      <x:c r="B9" s="58" t="str">
        <x:v>Rio Tinto</x:v>
      </x:c>
      <x:c r="C9" s="59" t="n">
        <x:v>46238</x:v>
      </x:c>
      <x:c r="D9" s="58" t="str">
        <x:v>Mercado</x:v>
      </x:c>
      <x:c r="E9" s="58" t="str">
        <x:v>Precio, capitalización, PER, EPS, dividendo</x:v>
      </x:c>
      <x:c r="F9" s="40" t="str">
        <x:v>https://www.lse.co.uk/SharePrice.html?share=Rio-tinto&amp;shareprice=RIO</x:v>
      </x:c>
      <x:c r="G9" s="58" t="str">
        <x:v>Snapshot de mercado; actualizar antes de decidir.</x:v>
      </x:c>
    </x:row>
    <x:row r="10" ht="184.8000030517578" hidden="0" customHeight="1">
      <x:c r="A10" s="58" t="str">
        <x:v>RIO-FY25</x:v>
      </x:c>
      <x:c r="B10" s="58" t="str">
        <x:v>Rio Tinto</x:v>
      </x:c>
      <x:c r="C10" s="59" t="n">
        <x:v>46072</x:v>
      </x:c>
      <x:c r="D10" s="58" t="str">
        <x:v>Resultados</x:v>
      </x:c>
      <x:c r="E10" s="58" t="str">
        <x:v>FY25 ventas, EBITDA, beneficio, FCF, deuda y dividendo</x:v>
      </x:c>
      <x:c r="F10" s="40" t="str">
        <x:v>https://www.riotinto.com/news/releases/2026/rio-tinto-solid-results-underpinned-by-8-cueq-production-and-sharper-cost-discipline</x:v>
      </x:c>
      <x:c r="G10" s="58" t="str">
        <x:v>Comunicado oficial de resultados.</x:v>
      </x:c>
    </x:row>
    <x:row r="11" ht="198" hidden="0" customHeight="1">
      <x:c r="A11" s="58" t="str">
        <x:v>RIO-H1-26</x:v>
      </x:c>
      <x:c r="B11" s="58" t="str">
        <x:v>Rio Tinto</x:v>
      </x:c>
      <x:c r="C11" s="59" t="n">
        <x:v>46231</x:v>
      </x:c>
      <x:c r="D11" s="58" t="str">
        <x:v>Resultados</x:v>
      </x:c>
      <x:c r="E11" s="58" t="str">
        <x:v>H1 2026 ventas, EBITDA, FCF y deuda</x:v>
      </x:c>
      <x:c r="F11" s="40" t="str">
        <x:v>https://www.businesswire.com/news/home/20260728256050/en/Rio-Tinto-Step-change-in-performance-delivering-higher-shareholder-returns</x:v>
      </x:c>
      <x:c r="G11" s="58" t="str">
        <x:v>Resumen de resultados H1; contrastar con presentación oficial.</x:v>
      </x:c>
    </x:row>
    <x:row r="12" ht="237.60000610351562" hidden="0" customHeight="1">
      <x:c r="A12" s="58" t="str">
        <x:v>RIO-OWN</x:v>
      </x:c>
      <x:c r="B12" s="58" t="str">
        <x:v>Rio Tinto</x:v>
      </x:c>
      <x:c r="C12" s="59" t="n">
        <x:v>46238</x:v>
      </x:c>
      <x:c r="D12" s="58" t="str">
        <x:v>Ownership</x:v>
      </x:c>
      <x:c r="E12" s="58" t="str">
        <x:v>Beneficial ownership</x:v>
      </x:c>
      <x:c r="F12" s="40" t="str">
        <x:v>https://www.riotinto.com/-/media/Content/Documents/Sustainability/Ethics-and-integrity/Transparency/RT-Beneficial-ownership.pdf?rev=4d675f7ef7d6467f9f48d4f2f368402b</x:v>
      </x:c>
      <x:c r="G12" s="58" t="str">
        <x:v>Documento de transparencia.</x:v>
      </x:c>
    </x:row>
    <x:row r="13" ht="264" hidden="0" customHeight="1">
      <x:c r="A13" s="58" t="str">
        <x:v>RIO-BB</x:v>
      </x:c>
      <x:c r="B13" s="58" t="str">
        <x:v>Rio Tinto</x:v>
      </x:c>
      <x:c r="C13" s="59" t="n">
        <x:v>46238</x:v>
      </x:c>
      <x:c r="D13" s="58" t="str">
        <x:v>Capital allocation</x:v>
      </x:c>
      <x:c r="E13" s="58" t="str">
        <x:v>Historial de recompras</x:v>
      </x:c>
      <x:c r="F13" s="40" t="str">
        <x:v>https://www.riotinto.com/invest/shareholder-information/share-buy-backs?source=content_type%3Areact%7Cfirst_level_url%3Aarticle%7Csection%3Amain_content%7Cbutton%3Abody_link</x:v>
      </x:c>
      <x:c r="G13" s="58" t="str">
        <x:v>Revisar vigencia y saldo.</x:v>
      </x:c>
    </x:row>
    <x:row r="14" ht="92.4000015258789" hidden="0" customHeight="1">
      <x:c r="A14" s="58" t="str">
        <x:v>ETOR-MKT</x:v>
      </x:c>
      <x:c r="B14" s="58" t="str">
        <x:v>eToro</x:v>
      </x:c>
      <x:c r="C14" s="59" t="n">
        <x:v>46238</x:v>
      </x:c>
      <x:c r="D14" s="58" t="str">
        <x:v>Mercado</x:v>
      </x:c>
      <x:c r="E14" s="58" t="str">
        <x:v>Precio, capitalización y PER orientativo</x:v>
      </x:c>
      <x:c r="F14" s="40" t="str">
        <x:v>https://stockanalysis.com/stocks/etor/</x:v>
      </x:c>
      <x:c r="G14" s="58" t="str">
        <x:v>Snapshot de tercero; contrastar con IR/mercado.</x:v>
      </x:c>
    </x:row>
    <x:row r="15" ht="158.39999389648438" hidden="0" customHeight="1">
      <x:c r="A15" s="58" t="str">
        <x:v>ETOR-FY25</x:v>
      </x:c>
      <x:c r="B15" s="58" t="str">
        <x:v>eToro</x:v>
      </x:c>
      <x:c r="C15" s="59" t="n">
        <x:v>46091</x:v>
      </x:c>
      <x:c r="D15" s="58" t="str">
        <x:v>Resultados</x:v>
      </x:c>
      <x:c r="E15" s="58" t="str">
        <x:v>FY25 net contribution, EBITDA, beneficio y recompra</x:v>
      </x:c>
      <x:c r="F15" s="40" t="str">
        <x:v>https://investors.etoro.com/news-releases/news-release-details/etoro-reports-fourth-quarter-and-full-year-2025-results</x:v>
      </x:c>
      <x:c r="G15" s="58" t="str">
        <x:v>Fuente oficial de la compañía.</x:v>
      </x:c>
    </x:row>
    <x:row r="16" ht="145.1999969482422" hidden="0" customHeight="1">
      <x:c r="A16" s="58" t="str">
        <x:v>ETOR-Q1-26</x:v>
      </x:c>
      <x:c r="B16" s="58" t="str">
        <x:v>eToro</x:v>
      </x:c>
      <x:c r="C16" s="59" t="n">
        <x:v>46154</x:v>
      </x:c>
      <x:c r="D16" s="58" t="str">
        <x:v>Resultados</x:v>
      </x:c>
      <x:c r="E16" s="58" t="str">
        <x:v>Q1 2026 crecimiento, AUA, cuentas y caja</x:v>
      </x:c>
      <x:c r="F16" s="40" t="str">
        <x:v>https://investors.etoro.com/news-releases/news-release-details/etoro-reports-first-quarter-2026-results</x:v>
      </x:c>
      <x:c r="G16" s="58" t="str">
        <x:v>Fuente oficial; próximos resultados 11-ago-2026.</x:v>
      </x:c>
    </x:row>
    <x:row r="17" ht="105.5999984741211" hidden="0" customHeight="1">
      <x:c r="A17" s="58" t="str">
        <x:v>ETOR-20F</x:v>
      </x:c>
      <x:c r="B17" s="58" t="str">
        <x:v>eToro</x:v>
      </x:c>
      <x:c r="C17" s="59" t="n">
        <x:v>46112</x:v>
      </x:c>
      <x:c r="D17" s="58" t="str">
        <x:v>Filing</x:v>
      </x:c>
      <x:c r="E17" s="58" t="str">
        <x:v>Acciones Clase A/B y estructura societaria</x:v>
      </x:c>
      <x:c r="F17" s="40" t="str">
        <x:v>https://investors.etoro.com/static-files/42426819-ac6c-46e9-ba77-2aeaacf156b2</x:v>
      </x:c>
      <x:c r="G17" s="58" t="str">
        <x:v>Revisar dilución, dual class y lock-up.</x:v>
      </x:c>
    </x:row>
    <x:row r="18" ht="79.19999694824219" hidden="0" customHeight="1">
      <x:c r="A18" s="58" t="str">
        <x:v>HBX-MKT</x:v>
      </x:c>
      <x:c r="B18" s="58" t="str">
        <x:v>HBX Group</x:v>
      </x:c>
      <x:c r="C18" s="59" t="n">
        <x:v>46238</x:v>
      </x:c>
      <x:c r="D18" s="58" t="str">
        <x:v>Mercado</x:v>
      </x:c>
      <x:c r="E18" s="58" t="str">
        <x:v>Precio, capitalización, PER, EPS y dividendo</x:v>
      </x:c>
      <x:c r="F18" s="40" t="str">
        <x:v>https://stockanalysis.com/quote/bme/HBX/</x:v>
      </x:c>
      <x:c r="G18" s="58" t="str">
        <x:v>Snapshot de tercero; actualizar antes de decidir.</x:v>
      </x:c>
    </x:row>
    <x:row r="19" ht="224.39999389648438" hidden="0" customHeight="1">
      <x:c r="A19" s="58" t="str">
        <x:v>HBX-IPO</x:v>
      </x:c>
      <x:c r="B19" s="58" t="str">
        <x:v>HBX Group</x:v>
      </x:c>
      <x:c r="C19" s="59" t="n">
        <x:v>45722</x:v>
      </x:c>
      <x:c r="D19" s="58" t="str">
        <x:v>IPO</x:v>
      </x:c>
      <x:c r="E19" s="58" t="str">
        <x:v>Precio y fecha de salida a bolsa</x:v>
      </x:c>
      <x:c r="F19" s="40" t="str">
        <x:v>https://investors.hbxgroup.com/English/news/news-details/2025/HBX-Group-launches-its-IPO-on-the-Spanish-Stock-Exchanges-at-a-Price-Range-of-10.50---12.50-per-share/</x:v>
      </x:c>
      <x:c r="G19" s="58" t="str">
        <x:v>El precio de IPO fue 11.50 EUR.</x:v>
      </x:c>
    </x:row>
    <x:row r="20" ht="158.39999389648438" hidden="0" customHeight="1">
      <x:c r="A20" s="58" t="str">
        <x:v>HBX-H1-26</x:v>
      </x:c>
      <x:c r="B20" s="58" t="str">
        <x:v>HBX Group</x:v>
      </x:c>
      <x:c r="C20" s="59" t="n">
        <x:v>46232</x:v>
      </x:c>
      <x:c r="D20" s="58" t="str">
        <x:v>Resultados</x:v>
      </x:c>
      <x:c r="E20" s="58" t="str">
        <x:v>H1 2026 TTV, ventas, EBITDA, PAT, deuda, guía y recompra</x:v>
      </x:c>
      <x:c r="F20" s="40" t="str">
        <x:v>https://www.prnewswire.com/news-releases/hbx-group-announces-half-year-2026-financial-results-302770897.html</x:v>
      </x:c>
      <x:c r="G20" s="58" t="str">
        <x:v>Comunicado distribuido por la compañía.</x:v>
      </x:c>
    </x:row>
    <x:row r="21" ht="118.80000305175781" hidden="0" customHeight="1">
      <x:c r="A21" s="58" t="str">
        <x:v>HBX-SH</x:v>
      </x:c>
      <x:c r="B21" s="58" t="str">
        <x:v>HBX Group</x:v>
      </x:c>
      <x:c r="C21" s="59" t="n">
        <x:v>46238</x:v>
      </x:c>
      <x:c r="D21" s="58" t="str">
        <x:v>Ownership</x:v>
      </x:c>
      <x:c r="E21" s="58" t="str">
        <x:v>Accionistas significativos</x:v>
      </x:c>
      <x:c r="F21" s="40" t="str">
        <x:v>https://investors.hbxgroup.com/English/stock-info/significant-shareholders/default.aspx</x:v>
      </x:c>
      <x:c r="G21" s="58" t="str">
        <x:v>CPPIB/Cinven y free float; comprobar actualizaciones.</x:v>
      </x:c>
    </x:row>
    <x:row r="22" ht="118.80000305175781" hidden="0" customHeight="1">
      <x:c r="A22" s="58" t="str">
        <x:v>FIG-MKT</x:v>
      </x:c>
      <x:c r="B22" s="58" t="str">
        <x:v>Figma</x:v>
      </x:c>
      <x:c r="C22" s="59" t="n">
        <x:v>46238</x:v>
      </x:c>
      <x:c r="D22" s="58" t="str">
        <x:v>Mercado</x:v>
      </x:c>
      <x:c r="E22" s="58" t="str">
        <x:v>Precio, capitalización y PER</x:v>
      </x:c>
      <x:c r="F22" s="40" t="str">
        <x:v>https://stockanalysis.com/stocks/fig/</x:v>
      </x:c>
      <x:c r="G22" s="58" t="str">
        <x:v>Snapshot de tercero; no usar PER GAAP positivo porque hay pérdidas.</x:v>
      </x:c>
    </x:row>
    <x:row r="23" ht="184.8000030517578" hidden="0" customHeight="1">
      <x:c r="A23" s="58" t="str">
        <x:v>FIG-IPO</x:v>
      </x:c>
      <x:c r="B23" s="58" t="str">
        <x:v>Figma</x:v>
      </x:c>
      <x:c r="C23" s="59" t="n">
        <x:v>45869</x:v>
      </x:c>
      <x:c r="D23" s="58" t="str">
        <x:v>IPO</x:v>
      </x:c>
      <x:c r="E23" s="58" t="str">
        <x:v>Precio y comienzo de cotización</x:v>
      </x:c>
      <x:c r="F23" s="40" t="str">
        <x:v>https://investor.figma.com/news-events/news/news-details/2025/Figma-Announces-Pricing-of-Initial-Public-Offering/default.aspx</x:v>
      </x:c>
      <x:c r="G23" s="58" t="str">
        <x:v>36.937m acciones Clase A a 33 USD.</x:v>
      </x:c>
    </x:row>
    <x:row r="24" ht="198" hidden="0" customHeight="1">
      <x:c r="A24" s="58" t="str">
        <x:v>FIG-FY25</x:v>
      </x:c>
      <x:c r="B24" s="58" t="str">
        <x:v>Figma</x:v>
      </x:c>
      <x:c r="C24" s="59" t="n">
        <x:v>46078</x:v>
      </x:c>
      <x:c r="D24" s="58" t="str">
        <x:v>Resultados</x:v>
      </x:c>
      <x:c r="E24" s="58" t="str">
        <x:v>FY25 ventas, beneficio operativo no GAAP, FCF y caja</x:v>
      </x:c>
      <x:c r="F24" s="40" t="str">
        <x:v>https://investor.figma.com/news-events/news/news-details/2026/Figma-Announces-Fourth-Quarter-and-Fiscal-Year-2025-Financial-Results/default.aspx</x:v>
      </x:c>
      <x:c r="G24" s="58" t="str">
        <x:v>SBC provoca distorsión importante en GAAP.</x:v>
      </x:c>
    </x:row>
    <x:row r="25" ht="184.8000030517578" hidden="0" customHeight="1">
      <x:c r="A25" s="58" t="str">
        <x:v>FIG-Q1-26</x:v>
      </x:c>
      <x:c r="B25" s="58" t="str">
        <x:v>Figma</x:v>
      </x:c>
      <x:c r="C25" s="59" t="n">
        <x:v>46149</x:v>
      </x:c>
      <x:c r="D25" s="58" t="str">
        <x:v>Resultados</x:v>
      </x:c>
      <x:c r="E25" s="58" t="str">
        <x:v>Q1 2026 ventas, FCF, NDR, clientes y guía</x:v>
      </x:c>
      <x:c r="F25" s="40" t="str">
        <x:v>https://investor.figma.com/news-events/news/news-details/2026/Figma-Announces-First-Quarter-2026-Financial-Results/default.aspx</x:v>
      </x:c>
      <x:c r="G25" s="58" t="str">
        <x:v>Guía FY26 de ingresos 1.422–1.428bn USD.</x:v>
      </x:c>
    </x:row>
    <x:row r="26" ht="211.1999969482422" hidden="0" customHeight="1">
      <x:c r="A26" s="58" t="str">
        <x:v>FIG-Q2</x:v>
      </x:c>
      <x:c r="B26" s="58" t="str">
        <x:v>Figma</x:v>
      </x:c>
      <x:c r="C26" s="59" t="n">
        <x:v>46231</x:v>
      </x:c>
      <x:c r="D26" s="58" t="str">
        <x:v>Evento</x:v>
      </x:c>
      <x:c r="E26" s="58" t="str">
        <x:v>Fecha de resultados Q2 2026</x:v>
      </x:c>
      <x:c r="F26" s="40" t="str">
        <x:v>https://investor.figma.com/news-events/news/news-details/2026/Figma-to-Announce-Second-Quarter-2026-Financial-Results-on-August-5-2026/default.aspx</x:v>
      </x:c>
      <x:c r="G26" s="58" t="str">
        <x:v>Catalizador; a fecha de corte aún no publicado.</x:v>
      </x:c>
    </x:row>
    <x:row r="27" ht="105.5999984741211" hidden="0" customHeight="1">
      <x:c r="A27" s="58" t="str">
        <x:v>JD-MKT</x:v>
      </x:c>
      <x:c r="B27" s="58" t="str">
        <x:v>JD Sports Fashion</x:v>
      </x:c>
      <x:c r="C27" s="59" t="n">
        <x:v>46238</x:v>
      </x:c>
      <x:c r="D27" s="58" t="str">
        <x:v>Mercado</x:v>
      </x:c>
      <x:c r="E27" s="58" t="str">
        <x:v>Precio, capitalización, PER, EPS y dividendo</x:v>
      </x:c>
      <x:c r="F27" s="40" t="str">
        <x:v>https://www.lse.co.uk/SharePrice.html?mobile_view=desktop&amp;shareprice=JD.</x:v>
      </x:c>
      <x:c r="G27" s="58" t="str">
        <x:v>Cotización retrasada; snapshot 86.18p.</x:v>
      </x:c>
    </x:row>
    <x:row r="28" ht="184.8000030517578" hidden="0" customHeight="1">
      <x:c r="A28" s="58" t="str">
        <x:v>JD-FY26</x:v>
      </x:c>
      <x:c r="B28" s="58" t="str">
        <x:v>JD Sports Fashion</x:v>
      </x:c>
      <x:c r="C28" s="59" t="n">
        <x:v>46128</x:v>
      </x:c>
      <x:c r="D28" s="58" t="str">
        <x:v>Resultados</x:v>
      </x:c>
      <x:c r="E28" s="58" t="str">
        <x:v>FY26 ventas, beneficio operativo, EPS y FCF</x:v>
      </x:c>
      <x:c r="F28" s="40" t="str">
        <x:v>https://www.jdplc.com/investor-relations/regulatory-news/regulatory-news-details/2026/FULL-YEAR-RESULTS-202526-FY26/default.aspx</x:v>
      </x:c>
      <x:c r="G28" s="58" t="str">
        <x:v>Resultados oficiales.</x:v>
      </x:c>
    </x:row>
    <x:row r="29" ht="118.80000305175781" hidden="0" customHeight="1">
      <x:c r="A29" s="58" t="str">
        <x:v>JD-BB</x:v>
      </x:c>
      <x:c r="B29" s="58" t="str">
        <x:v>JD Sports Fashion</x:v>
      </x:c>
      <x:c r="C29" s="59" t="n">
        <x:v>46076</x:v>
      </x:c>
      <x:c r="D29" s="58" t="str">
        <x:v>Capital allocation</x:v>
      </x:c>
      <x:c r="E29" s="58" t="str">
        <x:v>Programa de recompra 2026</x:v>
      </x:c>
      <x:c r="F29" s="40" t="str">
        <x:v>https://www.lse.co.uk/rns/JD./full-year-results-202526-fy26-mrde33s99qg3cu2.html</x:v>
      </x:c>
      <x:c r="G29" s="58" t="str">
        <x:v>Confirmar ejecución y acciones en circulación.</x:v>
      </x:c>
    </x:row>
    <x:row r="30" ht="79.19999694824219" hidden="0" customHeight="1">
      <x:c r="A30" s="58" t="str">
        <x:v>PYPL-MKT</x:v>
      </x:c>
      <x:c r="B30" s="58" t="str">
        <x:v>PayPal</x:v>
      </x:c>
      <x:c r="C30" s="59" t="n">
        <x:v>46238</x:v>
      </x:c>
      <x:c r="D30" s="58" t="str">
        <x:v>Mercado</x:v>
      </x:c>
      <x:c r="E30" s="58" t="str">
        <x:v>Precio, capitalización, PER y EPS</x:v>
      </x:c>
      <x:c r="F30" s="40" t="str">
        <x:v>https://stockanalysis.com/stocks/pypl/</x:v>
      </x:c>
      <x:c r="G30" s="58" t="str">
        <x:v>Snapshot de tercero; actualizar antes de decidir.</x:v>
      </x:c>
    </x:row>
    <x:row r="31" ht="145.1999969482422" hidden="0" customHeight="1">
      <x:c r="A31" s="58" t="str">
        <x:v>PYPL-FY25</x:v>
      </x:c>
      <x:c r="B31" s="58" t="str">
        <x:v>PayPal</x:v>
      </x:c>
      <x:c r="C31" s="59" t="n">
        <x:v>46057</x:v>
      </x:c>
      <x:c r="D31" s="58" t="str">
        <x:v>Resultados / SEC</x:v>
      </x:c>
      <x:c r="E31" s="58" t="str">
        <x:v>FCF, recompras y dividendo</x:v>
      </x:c>
      <x:c r="F31" s="40" t="str">
        <x:v>https://www.sec.gov/Archives/edgar/data/1633917/000163391726000021/pypl4q-25earningsrelease.htm</x:v>
      </x:c>
      <x:c r="G31" s="58" t="str">
        <x:v>Comunicado de resultados presentado ante SEC.</x:v>
      </x:c>
    </x:row>
    <x:row r="32" ht="145.1999969482422" hidden="0" customHeight="1">
      <x:c r="A32" s="58" t="str">
        <x:v>PYPL-Q1-26</x:v>
      </x:c>
      <x:c r="B32" s="58" t="str">
        <x:v>PayPal</x:v>
      </x:c>
      <x:c r="C32" s="59" t="n">
        <x:v>46140</x:v>
      </x:c>
      <x:c r="D32" s="58" t="str">
        <x:v>Resultados / SEC</x:v>
      </x:c>
      <x:c r="E32" s="58" t="str">
        <x:v>Ventas, TPV, FCF y branded checkout</x:v>
      </x:c>
      <x:c r="F32" s="40" t="str">
        <x:v>https://www.sec.gov/Archives/edgar/data/1633917/000163391726000065/pypl1q-26earningsrelease.htm</x:v>
      </x:c>
      <x:c r="G32" s="58" t="str">
        <x:v>Fuente primaria; revisar el informe completo.</x:v>
      </x:c>
    </x:row>
    <x:row r="33" ht="132" hidden="0" customHeight="1">
      <x:c r="A33" s="58" t="str">
        <x:v>PYPL-10K</x:v>
      </x:c>
      <x:c r="B33" s="58" t="str">
        <x:v>PayPal</x:v>
      </x:c>
      <x:c r="C33" s="59" t="n">
        <x:v>46073</x:v>
      </x:c>
      <x:c r="D33" s="58" t="str">
        <x:v>Filing</x:v>
      </x:c>
      <x:c r="E33" s="58" t="str">
        <x:v>Recompras 2025 y autorización pendiente</x:v>
      </x:c>
      <x:c r="F33" s="40" t="str">
        <x:v>https://www.sec.gov/Archives/edgar/data/1633917/000163391726000024/pypl-20251231.htm</x:v>
      </x:c>
      <x:c r="G33" s="58" t="str">
        <x:v>Filing anual.</x:v>
      </x:c>
    </x:row>
    <x:row r="34" ht="92.4000015258789" hidden="0" customHeight="1">
      <x:c r="A34" s="58" t="str">
        <x:v>APN-MKT</x:v>
      </x:c>
      <x:c r="B34" s="58" t="str">
        <x:v>Applied Nutrition</x:v>
      </x:c>
      <x:c r="C34" s="59" t="n">
        <x:v>46238</x:v>
      </x:c>
      <x:c r="D34" s="58" t="str">
        <x:v>Mercado</x:v>
      </x:c>
      <x:c r="E34" s="58" t="str">
        <x:v>Precio, capitalización, PER y evolución anual</x:v>
      </x:c>
      <x:c r="F34" s="40" t="str">
        <x:v>https://www.lse.co.uk/SharePrice.html?shareprice=APN</x:v>
      </x:c>
      <x:c r="G34" s="58" t="str">
        <x:v>Candidata descartada inicialmente por valoración.</x:v>
      </x:c>
    </x:row>
    <x:row r="35" ht="92.4000015258789" hidden="0" customHeight="1">
      <x:c r="A35" s="58" t="str">
        <x:v>APN-FY25</x:v>
      </x:c>
      <x:c r="B35" s="58" t="str">
        <x:v>Applied Nutrition</x:v>
      </x:c>
      <x:c r="C35" s="59" t="n">
        <x:v>45931</x:v>
      </x:c>
      <x:c r="D35" s="58" t="str">
        <x:v>Resultados</x:v>
      </x:c>
      <x:c r="E35" s="58" t="str">
        <x:v>FY25 ventas, EBITDA, EPS y FCF</x:v>
      </x:c>
      <x:c r="F35" s="40" t="str">
        <x:v>https://www.lse.co.uk/rns/final-results-ipv08uqh911qvg9.html</x:v>
      </x:c>
      <x:c r="G35" s="58" t="str">
        <x:v>Crecimiento bueno; PER cercano a 39x y sin dividendo.</x:v>
      </x:c>
    </x:row>
    <x:row r="36" ht="132" hidden="0" customHeight="1">
      <x:c r="A36" s="58" t="str">
        <x:v>LYNCH-BOOK</x:v>
      </x:c>
      <x:c r="B36" s="58" t="str">
        <x:v>Peter Lynch</x:v>
      </x:c>
      <x:c r="C36" s="59" t="n">
        <x:v>46238</x:v>
      </x:c>
      <x:c r="D36" s="58" t="str">
        <x:v>Libro</x:v>
      </x:c>
      <x:c r="E36" s="58" t="str">
        <x:v>Seis categorías, 13 señales de empresa atractiva y prioridad de beneficios/balance</x:v>
      </x:c>
      <x:c r="F36" s="40" t="str">
        <x:v>C:/Users/Cesar/Desktop/desarrollador/finanzas/src/Un paso por delante de Wall Street.pdf</x:v>
      </x:c>
      <x:c r="G36" s="58" t="str">
        <x:v>PDF local proporcionado por el usuario; usado como marco cualitativo.</x:v>
      </x:c>
    </x:row>
    <x:row r="37" ht="105.5999984741211" hidden="0" customHeight="1">
      <x:c r="A37" s="58" t="str">
        <x:v>WISE-MKT</x:v>
      </x:c>
      <x:c r="B37" s="58" t="str">
        <x:v>Wise</x:v>
      </x:c>
      <x:c r="C37" s="59" t="n">
        <x:v>46238</x:v>
      </x:c>
      <x:c r="D37" s="58" t="str">
        <x:v>Mercado</x:v>
      </x:c>
      <x:c r="E37" s="58" t="str">
        <x:v>Precio, capitalización, PER, EPS y dividendo</x:v>
      </x:c>
      <x:c r="F37" s="40" t="str">
        <x:v>https://www.lse.co.uk/SharePrice.html?share=Wise-Plc&amp;shareprice=WISE</x:v>
      </x:c>
      <x:c r="G37" s="58" t="str">
        <x:v>Snapshot LSE; actualizar antes de decidir.</x:v>
      </x:c>
    </x:row>
    <x:row r="38" ht="105.5999984741211" hidden="0" customHeight="1">
      <x:c r="A38" s="58" t="str">
        <x:v>WISE-FY26</x:v>
      </x:c>
      <x:c r="B38" s="58" t="str">
        <x:v>Wise</x:v>
      </x:c>
      <x:c r="C38" s="59" t="n">
        <x:v>46199</x:v>
      </x:c>
      <x:c r="D38" s="58" t="str">
        <x:v>Resultados</x:v>
      </x:c>
      <x:c r="E38" s="58" t="str">
        <x:v>FY26 net revenue, beneficio antes de impuestos, caja, deuda y recompras</x:v>
      </x:c>
      <x:c r="F38" s="40" t="str">
        <x:v>https://owners.wise.com/news-releases/news-release-details/wise-fy26-results</x:v>
      </x:c>
      <x:c r="G38" s="58" t="str">
        <x:v>Fuente oficial; la caja incluye fondos salvaguardados de clientes.</x:v>
      </x:c>
    </x:row>
    <x:row r="39" ht="118.80000305175781" hidden="0" customHeight="1">
      <x:c r="A39" s="58" t="str">
        <x:v>WISE-Q1-27</x:v>
      </x:c>
      <x:c r="B39" s="58" t="str">
        <x:v>Wise</x:v>
      </x:c>
      <x:c r="C39" s="59" t="n">
        <x:v>46220</x:v>
      </x:c>
      <x:c r="D39" s="58" t="str">
        <x:v>Resultados</x:v>
      </x:c>
      <x:c r="E39" s="58" t="str">
        <x:v>Q1 FY27 clientes, volumen, holdings, net revenue y guidance</x:v>
      </x:c>
      <x:c r="F39" s="40" t="str">
        <x:v>https://owners.wise.com/news-releases/news-release-details/wise-q1-fy27-trading-update</x:v>
      </x:c>
      <x:c r="G39" s="58" t="str">
        <x:v>Fuente oficial; actualización operativa más reciente.</x:v>
      </x:c>
    </x:row>
    <x:row r="40" ht="145.1999969482422" hidden="0" customHeight="1">
      <x:c r="A40" s="58" t="str">
        <x:v>WISE-CAL</x:v>
      </x:c>
      <x:c r="B40" s="58" t="str">
        <x:v>Wise</x:v>
      </x:c>
      <x:c r="C40" s="59" t="n">
        <x:v>46188</x:v>
      </x:c>
      <x:c r="D40" s="58" t="str">
        <x:v>Calendario</x:v>
      </x:c>
      <x:c r="E40" s="58" t="str">
        <x:v>Fechas de resultados FY26 y Q1 FY27; próxima fecha por confirmar</x:v>
      </x:c>
      <x:c r="F40" s="40" t="str">
        <x:v>https://owners.wise.com/news-releases/news-release-details/notice-fy26-results-and-q1-fy27-trading-update</x:v>
      </x:c>
      <x:c r="G40" s="58" t="str">
        <x:v>No hay próximo evento confirmado; revisar el calendario.</x:v>
      </x:c>
    </x:row>
    <x:row r="41" ht="92.4000015258789" hidden="0" customHeight="1">
      <x:c r="A41" s="58" t="str">
        <x:v>AUTO-MKT</x:v>
      </x:c>
      <x:c r="B41" s="58" t="str">
        <x:v>Auto Trader</x:v>
      </x:c>
      <x:c r="C41" s="59" t="n">
        <x:v>46238</x:v>
      </x:c>
      <x:c r="D41" s="58" t="str">
        <x:v>Mercado</x:v>
      </x:c>
      <x:c r="E41" s="58" t="str">
        <x:v>Precio, capitalización, PER, EPS, dividendo y yield</x:v>
      </x:c>
      <x:c r="F41" s="40" t="str">
        <x:v>https://www.lse.co.uk/ShareFundamentals.html?shareprice=AUTO</x:v>
      </x:c>
      <x:c r="G41" s="58" t="str">
        <x:v>Snapshot LSE; actualizar antes de decidir.</x:v>
      </x:c>
    </x:row>
    <x:row r="42" ht="198" hidden="0" customHeight="1">
      <x:c r="A42" s="58" t="str">
        <x:v>AUTO-FY26</x:v>
      </x:c>
      <x:c r="B42" s="58" t="str">
        <x:v>Auto Trader</x:v>
      </x:c>
      <x:c r="C42" s="59" t="n">
        <x:v>46163</x:v>
      </x:c>
      <x:c r="D42" s="58" t="str">
        <x:v>Resultados</x:v>
      </x:c>
      <x:c r="E42" s="58" t="str">
        <x:v>FY26 ingresos, beneficio operativo, EPS, caja y deuda</x:v>
      </x:c>
      <x:c r="F42" s="40" t="str">
        <x:v>https://www.investegate.co.uk/announcement/rns/autotrader-group-plc--auto/full-year-results-for-the-year-ended-31-march-2026/9578760</x:v>
      </x:c>
      <x:c r="G42" s="58" t="str">
        <x:v>Comunicado oficial distribuido por RNS.</x:v>
      </x:c>
    </x:row>
    <x:row r="43" ht="79.19999694824219" hidden="0" customHeight="1">
      <x:c r="A43" s="58" t="str">
        <x:v>AUTO-CAL</x:v>
      </x:c>
      <x:c r="B43" s="58" t="str">
        <x:v>Auto Trader</x:v>
      </x:c>
      <x:c r="C43" s="59" t="n">
        <x:v>46238</x:v>
      </x:c>
      <x:c r="D43" s="58" t="str">
        <x:v>Calendario</x:v>
      </x:c>
      <x:c r="E43" s="58" t="str">
        <x:v>Resultados semestrales FY27 el 05-nov-2026</x:v>
      </x:c>
      <x:c r="F43" s="40" t="str">
        <x:v>https://plc.autotrader.co.uk/investors/financial-calendar/</x:v>
      </x:c>
      <x:c r="G43" s="58" t="str">
        <x:v>Fecha confirmada por la compañía.</x:v>
      </x:c>
    </x:row>
    <x:row r="44" ht="118.80000305175781" hidden="0" customHeight="1">
      <x:c r="A44" s="58" t="str">
        <x:v>BME-MKT</x:v>
      </x:c>
      <x:c r="B44" s="58" t="str">
        <x:v>B&amp;M European Value Retail</x:v>
      </x:c>
      <x:c r="C44" s="59" t="n">
        <x:v>46238</x:v>
      </x:c>
      <x:c r="D44" s="58" t="str">
        <x:v>Mercado</x:v>
      </x:c>
      <x:c r="E44" s="58" t="str">
        <x:v>Precio, capitalización, EPS y dividendo; última operación visible</x:v>
      </x:c>
      <x:c r="F44" s="40" t="str">
        <x:v>https://www.lse.co.uk/SharePrice.html?shareprice=BME</x:v>
      </x:c>
      <x:c r="G44" s="58" t="str">
        <x:v>El precio de mercado puede estar retrasado; contrastar el día de revisión.</x:v>
      </x:c>
    </x:row>
    <x:row r="45" ht="184.8000030517578" hidden="0" customHeight="1">
      <x:c r="A45" s="58" t="str">
        <x:v>BME-FY26</x:v>
      </x:c>
      <x:c r="B45" s="58" t="str">
        <x:v>B&amp;M European Value Retail</x:v>
      </x:c>
      <x:c r="C45" s="59" t="n">
        <x:v>46176</x:v>
      </x:c>
      <x:c r="D45" s="58" t="str">
        <x:v>Resultados</x:v>
      </x:c>
      <x:c r="E45" s="58" t="str">
        <x:v>FY26 ventas, EBITDA, EPS ajustado, FCF y deuda</x:v>
      </x:c>
      <x:c r="F45" s="40" t="str">
        <x:v>https://www.investegate.co.uk/index.php/announcement/rns/b-m-european-value-retail-s-a-di---bme/fy26-preliminary-results-/9598419</x:v>
      </x:c>
      <x:c r="G45" s="58" t="str">
        <x:v>Comunicado oficial de resultados.</x:v>
      </x:c>
    </x:row>
    <x:row r="46" ht="171.60000610351562" hidden="0" customHeight="1">
      <x:c r="A46" s="58" t="str">
        <x:v>BME-Q1-27</x:v>
      </x:c>
      <x:c r="B46" s="58" t="str">
        <x:v>B&amp;M European Value Retail</x:v>
      </x:c>
      <x:c r="C46" s="59" t="n">
        <x:v>46218</x:v>
      </x:c>
      <x:c r="D46" s="58" t="str">
        <x:v>Resultados</x:v>
      </x:c>
      <x:c r="E46" s="58" t="str">
        <x:v>Q1 FY27 ventas, LFL UK/Francia/Heron y margen</x:v>
      </x:c>
      <x:c r="F46" s="40" t="str">
        <x:v>https://www.investegate.co.uk/announcement/rns/b-m-european-value-retail-s-a-di---bme/q1-fy27-trading-statement-/9668951</x:v>
      </x:c>
      <x:c r="G46" s="58" t="str">
        <x:v>Actualización operativa más reciente.</x:v>
      </x:c>
    </x:row>
    <x:row r="47" ht="105.5999984741211" hidden="0" customHeight="1">
      <x:c r="A47" s="58" t="str">
        <x:v>BME-CAL</x:v>
      </x:c>
      <x:c r="B47" s="58" t="str">
        <x:v>B&amp;M European Value Retail</x:v>
      </x:c>
      <x:c r="C47" s="59" t="n">
        <x:v>46238</x:v>
      </x:c>
      <x:c r="D47" s="58" t="str">
        <x:v>Calendario</x:v>
      </x:c>
      <x:c r="E47" s="58" t="str">
        <x:v>Calendario de trading updates; próxima fecha aún no publicada</x:v>
      </x:c>
      <x:c r="F47" s="40" t="str">
        <x:v>https://www.bandmretail.com/investors/financial-calendar</x:v>
      </x:c>
      <x:c r="G47" s="58" t="str">
        <x:v>Usar noviembre como revisión tentativa y confirmar fecha.</x:v>
      </x:c>
    </x:row>
    <x:row r="48" ht="105.5999984741211" hidden="0" customHeight="1">
      <x:c r="A48" s="58" t="str">
        <x:v>KNOS-MKT</x:v>
      </x:c>
      <x:c r="B48" s="58" t="str">
        <x:v>Kainos Group</x:v>
      </x:c>
      <x:c r="C48" s="59" t="n">
        <x:v>46238</x:v>
      </x:c>
      <x:c r="D48" s="58" t="str">
        <x:v>Mercado</x:v>
      </x:c>
      <x:c r="E48" s="58" t="str">
        <x:v>Precio, capitalización, PER, EPS, dividendo y yield</x:v>
      </x:c>
      <x:c r="F48" s="40" t="str">
        <x:v>https://www.lse.co.uk/SharePrice.html?share=Kainos-group&amp;shareprice=KNOS</x:v>
      </x:c>
      <x:c r="G48" s="58" t="str">
        <x:v>Snapshot LSE; actualizar antes de decidir.</x:v>
      </x:c>
    </x:row>
    <x:row r="49" ht="132" hidden="0" customHeight="1">
      <x:c r="A49" s="58" t="str">
        <x:v>KNOS-FY26</x:v>
      </x:c>
      <x:c r="B49" s="58" t="str">
        <x:v>Kainos Group</x:v>
      </x:c>
      <x:c r="C49" s="59" t="n">
        <x:v>46160</x:v>
      </x:c>
      <x:c r="D49" s="58" t="str">
        <x:v>Resultados</x:v>
      </x:c>
      <x:c r="E49" s="58" t="str">
        <x:v>FY26 ventas, beneficio, EPS, bookings, backlog, ARR y caja</x:v>
      </x:c>
      <x:c r="F49" s="40" t="str">
        <x:v>https://www.investegate.co.uk/announcement/rns/kainos-group--knos/full-year-results/9571881</x:v>
      </x:c>
      <x:c r="G49" s="58" t="str">
        <x:v>Comunicado oficial de resultados.</x:v>
      </x:c>
    </x:row>
    <x:row r="50" ht="118.80000305175781" hidden="0" customHeight="1">
      <x:c r="A50" s="58" t="str">
        <x:v>KNOS-CAL</x:v>
      </x:c>
      <x:c r="B50" s="58" t="str">
        <x:v>Kainos Group</x:v>
      </x:c>
      <x:c r="C50" s="59" t="n">
        <x:v>46238</x:v>
      </x:c>
      <x:c r="D50" s="58" t="str">
        <x:v>Calendario</x:v>
      </x:c>
      <x:c r="E50" s="58" t="str">
        <x:v>Trading update FY27 el 07-sep-2026 e interinos el 09-nov-2026</x:v>
      </x:c>
      <x:c r="F50" s="40" t="str">
        <x:v>https://www.kainos.com/investor-relations/regulatory-news-and-events</x:v>
      </x:c>
      <x:c r="G50" s="58" t="str">
        <x:v>Calendario provisional de la compañía.</x:v>
      </x:c>
    </x:row>
    <x:row r="51" ht="79.19999694824219" hidden="0" customHeight="1">
      <x:c r="A51" s="58" t="str">
        <x:v>PLUS-MKT</x:v>
      </x:c>
      <x:c r="B51" s="58" t="str">
        <x:v>Plus500</x:v>
      </x:c>
      <x:c r="C51" s="59" t="n">
        <x:v>46238</x:v>
      </x:c>
      <x:c r="D51" s="58" t="str">
        <x:v>Mercado</x:v>
      </x:c>
      <x:c r="E51" s="58" t="str">
        <x:v>Precio, capitalización, PER, EPS, dividendo y yield</x:v>
      </x:c>
      <x:c r="F51" s="40" t="str">
        <x:v>https://www.lse.co.uk/SharePrice.html?shareprice=PLUS</x:v>
      </x:c>
      <x:c r="G51" s="58" t="str">
        <x:v>Snapshot LSE; actualizar antes de decidir.</x:v>
      </x:c>
    </x:row>
    <x:row r="52" ht="132" hidden="0" customHeight="1">
      <x:c r="A52" s="58" t="str">
        <x:v>PLUS-FY25</x:v>
      </x:c>
      <x:c r="B52" s="58" t="str">
        <x:v>Plus500</x:v>
      </x:c>
      <x:c r="C52" s="59" t="n">
        <x:v>46062</x:v>
      </x:c>
      <x:c r="D52" s="58" t="str">
        <x:v>Resultados</x:v>
      </x:c>
      <x:c r="E52" s="58" t="str">
        <x:v>FY25 ventas, EBITDA, PAT, EPS, caja y cash flow</x:v>
      </x:c>
      <x:c r="F52" s="40" t="str">
        <x:v>https://cdn.plus500.com/Media/Investors/Reports/Plus500_Preliminary_Results_FY2025.pdf</x:v>
      </x:c>
      <x:c r="G52" s="58" t="str">
        <x:v>Fuente oficial; resultados preliminares y estados condensados.</x:v>
      </x:c>
    </x:row>
    <x:row r="53" ht="158.39999389648438" hidden="0" customHeight="1">
      <x:c r="A53" s="58" t="str">
        <x:v>PLUS-H1-26</x:v>
      </x:c>
      <x:c r="B53" s="58" t="str">
        <x:v>Plus500</x:v>
      </x:c>
      <x:c r="C53" s="59" t="n">
        <x:v>46216</x:v>
      </x:c>
      <x:c r="D53" s="58" t="str">
        <x:v>Resultados</x:v>
      </x:c>
      <x:c r="E53" s="58" t="str">
        <x:v>H1 FY26 ventas, EBITDA, clientes, customer income y caja</x:v>
      </x:c>
      <x:c r="F53" s="40" t="str">
        <x:v>https://www.investegate.co.uk/announcement/rns/plus500-ltd-di---plus/half-year-2026-trading-update/9664194</x:v>
      </x:c>
      <x:c r="G53" s="58" t="str">
        <x:v>Actualización oficial; resultados completos el 10-ago-2026.</x:v>
      </x:c>
    </x:row>
    <x:row r="54" ht="66" hidden="0" customHeight="1">
      <x:c r="A54" s="58" t="str">
        <x:v>PLUS-CAL</x:v>
      </x:c>
      <x:c r="B54" s="58" t="str">
        <x:v>Plus500</x:v>
      </x:c>
      <x:c r="C54" s="59" t="n">
        <x:v>46238</x:v>
      </x:c>
      <x:c r="D54" s="58" t="str">
        <x:v>Calendario</x:v>
      </x:c>
      <x:c r="E54" s="58" t="str">
        <x:v>Resultados H1 2026 el 10-ago-2026</x:v>
      </x:c>
      <x:c r="F54" s="40" t="str">
        <x:v>https://cdn-investors.plus500.com/Shareholder</x:v>
      </x:c>
      <x:c r="G54" s="58" t="str">
        <x:v>Fecha confirmada por la compañía.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d59cea838cb4f6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" hidden="0" customWidth="1"/>
    <x:col min="3" max="3" width="14" hidden="0" customWidth="1"/>
    <x:col min="4" max="4" width="14" hidden="0" customWidth="1"/>
    <x:col min="5" max="5" width="23" hidden="0" customWidth="1"/>
    <x:col min="6" max="6" width="38" hidden="0" customWidth="1"/>
    <x:col min="7" max="7" width="36" hidden="0" customWidth="1"/>
    <x:col min="8" max="8" width="40" hidden="0" customWidth="1"/>
    <x:col min="9" max="9" width="40" hidden="0" customWidth="1"/>
    <x:col min="10" max="10" width="38" hidden="0" customWidth="1"/>
    <x:col min="11" max="11" width="20" hidden="0" customWidth="1"/>
    <x:col min="12" max="12" width="14" hidden="0" customWidth="1"/>
  </x:cols>
  <x:sheetData>
    <x:row r="1" ht="19.200000762939453" hidden="0" customHeight="1">
      <x:c r="A1" s="34" t="str">
        <x:v>Seguimiento y próxima revisión</x:v>
      </x:c>
      <x:c r="B1" s="34" t="str">
        <x:v>Seguimiento y próxima revisión</x:v>
      </x:c>
      <x:c r="C1" s="34" t="str">
        <x:v>Seguimiento y próxima revisión</x:v>
      </x:c>
      <x:c r="D1" s="34" t="str">
        <x:v>Seguimiento y próxima revisión</x:v>
      </x:c>
      <x:c r="E1" s="34" t="str">
        <x:v>Seguimiento y próxima revisión</x:v>
      </x:c>
      <x:c r="F1" s="34" t="str">
        <x:v>Seguimiento y próxima revisión</x:v>
      </x:c>
      <x:c r="G1" s="34" t="str">
        <x:v>Seguimiento y próxima revisión</x:v>
      </x:c>
      <x:c r="H1" s="34" t="str">
        <x:v>Seguimiento y próxima revisión</x:v>
      </x:c>
      <x:c r="I1" s="34" t="str">
        <x:v>Seguimiento y próxima revisión</x:v>
      </x:c>
      <x:c r="J1" s="34" t="str">
        <x:v>Seguimiento y próxima revisión</x:v>
      </x:c>
      <x:c r="K1" s="34" t="str">
        <x:v>Seguimiento y próxima revisión</x:v>
      </x:c>
      <x:c r="L1" s="34" t="str">
        <x:v>Seguimiento y próxima revisión</x:v>
      </x:c>
    </x:row>
    <x:row r="2" ht="24" hidden="0" customHeight="1">
      <x:c r="A2" s="8" t="str">
        <x:v>La fecha es el siguiente punto de control. Cuando llegue, copia los datos nuevos en Historial, actualiza Watchlist y cambia el veredicto solo si la evidencia lo exige.</x:v>
      </x:c>
      <x:c r="B2" s="8" t="str">
        <x:v>La fecha es el siguiente punto de control. Cuando llegue, copia los datos nuevos en Historial, actualiza Watchlist y cambia el veredicto solo si la evidencia lo exige.</x:v>
      </x:c>
      <x:c r="C2" s="8" t="str">
        <x:v>La fecha es el siguiente punto de control. Cuando llegue, copia los datos nuevos en Historial, actualiza Watchlist y cambia el veredicto solo si la evidencia lo exige.</x:v>
      </x:c>
      <x:c r="D2" s="8" t="str">
        <x:v>La fecha es el siguiente punto de control. Cuando llegue, copia los datos nuevos en Historial, actualiza Watchlist y cambia el veredicto solo si la evidencia lo exige.</x:v>
      </x:c>
      <x:c r="E2" s="8" t="str">
        <x:v>La fecha es el siguiente punto de control. Cuando llegue, copia los datos nuevos en Historial, actualiza Watchlist y cambia el veredicto solo si la evidencia lo exige.</x:v>
      </x:c>
      <x:c r="F2" s="8" t="str">
        <x:v>La fecha es el siguiente punto de control. Cuando llegue, copia los datos nuevos en Historial, actualiza Watchlist y cambia el veredicto solo si la evidencia lo exige.</x:v>
      </x:c>
      <x:c r="G2" s="8" t="str">
        <x:v>La fecha es el siguiente punto de control. Cuando llegue, copia los datos nuevos en Historial, actualiza Watchlist y cambia el veredicto solo si la evidencia lo exige.</x:v>
      </x:c>
      <x:c r="H2" s="8" t="str">
        <x:v>La fecha es el siguiente punto de control. Cuando llegue, copia los datos nuevos en Historial, actualiza Watchlist y cambia el veredicto solo si la evidencia lo exige.</x:v>
      </x:c>
      <x:c r="I2" s="8" t="str">
        <x:v>La fecha es el siguiente punto de control. Cuando llegue, copia los datos nuevos en Historial, actualiza Watchlist y cambia el veredicto solo si la evidencia lo exige.</x:v>
      </x:c>
      <x:c r="J2" s="8" t="str">
        <x:v>La fecha es el siguiente punto de control. Cuando llegue, copia los datos nuevos en Historial, actualiza Watchlist y cambia el veredicto solo si la evidencia lo exige.</x:v>
      </x:c>
      <x:c r="K2" s="8" t="str">
        <x:v>La fecha es el siguiente punto de control. Cuando llegue, copia los datos nuevos en Historial, actualiza Watchlist y cambia el veredicto solo si la evidencia lo exige.</x:v>
      </x:c>
      <x:c r="L2" s="8" t="str">
        <x:v>La fecha es el siguiente punto de control. Cuando llegue, copia los datos nuevos en Historial, actualiza Watchlist y cambia el veredicto solo si la evidencia lo exige.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</x:row>
    <x:row r="4" ht="48" hidden="0" customHeight="1">
      <x:c r="A4" s="20" t="str">
        <x:v>Empresa</x:v>
      </x:c>
      <x:c r="B4" s="20" t="str">
        <x:v>Ticker</x:v>
      </x:c>
      <x:c r="C4" s="20" t="str">
        <x:v>Última revisión</x:v>
      </x:c>
      <x:c r="D4" s="20" t="str">
        <x:v>Próxima revisión</x:v>
      </x:c>
      <x:c r="E4" s="20" t="str">
        <x:v>Tipo</x:v>
      </x:c>
      <x:c r="F4" s="20" t="str">
        <x:v>Métricas a comparar</x:v>
      </x:c>
      <x:c r="G4" s="20" t="str">
        <x:v>Dato base</x:v>
      </x:c>
      <x:c r="H4" s="20" t="str">
        <x:v>Qué debe mejorar / mantenerse</x:v>
      </x:c>
      <x:c r="I4" s="20" t="str">
        <x:v>Condición de invalidación</x:v>
      </x:c>
      <x:c r="J4" s="20" t="str">
        <x:v>Acción siguiente</x:v>
      </x:c>
      <x:c r="K4" s="20" t="str">
        <x:v>Fuente / evento</x:v>
      </x:c>
      <x:c r="L4" s="20" t="str">
        <x:v>Estado</x:v>
      </x:c>
    </x:row>
    <x:row r="5" ht="132" hidden="0" customHeight="1">
      <x:c r="A5" s="58" t="str">
        <x:v>Atalaya Mining</x:v>
      </x:c>
      <x:c r="B5" s="58" t="str">
        <x:v>ATYM</x:v>
      </x:c>
      <x:c r="C5" s="59" t="n">
        <x:v>46238</x:v>
      </x:c>
      <x:c r="D5" s="59" t="n">
        <x:v>46328</x:v>
      </x:c>
      <x:c r="E5" s="58" t="str">
        <x:v>Existente / cíclica</x:v>
      </x:c>
      <x:c r="F5" s="58" t="str">
        <x:v>Cobre, producción, AISC, inventarios, FCF y caja</x:v>
      </x:c>
      <x:c r="G5" s="58" t="str">
        <x:v>PER 17.29x; FCF 107.4m; caja neta 122m</x:v>
      </x:c>
      <x:c r="H5" s="58" t="str">
        <x:v>Mantener producción y convertir EBITDA en FCF; Touro debe ser opcionalidad, no necesidad</x:v>
      </x:c>
      <x:c r="I5" s="58" t="str">
        <x:v>Costes/AISC suben, caja se consume o producción queda por debajo de guía</x:v>
      </x:c>
      <x:c r="J5" s="58" t="str">
        <x:v>Leer update; añadir periodo a Historial y revisar precio de entrada</x:v>
      </x:c>
      <x:c r="K5" s="58" t="str">
        <x:v>ATYM-FY25 / ATYM-Q2-26</x:v>
      </x:c>
      <x:c r="L5" s="103" t="str">
        <x:f>IF(D5&lt;=DATE(2026,8,4),"REVISAR YA",IF(D5&lt;=DATE(2026,9,3),"PRÓXIMA","PROGRAMADA"))</x:f>
        <x:v>PROGRAMADA</x:v>
      </x:c>
    </x:row>
    <x:row r="6" ht="118.80000305175781" hidden="0" customHeight="1">
      <x:c r="A6" s="58" t="str">
        <x:v>Rio Tinto</x:v>
      </x:c>
      <x:c r="B6" s="58" t="str">
        <x:v>RIO</x:v>
      </x:c>
      <x:c r="C6" s="59" t="n">
        <x:v>46238</x:v>
      </x:c>
      <x:c r="D6" s="59" t="n">
        <x:v>46328</x:v>
      </x:c>
      <x:c r="E6" s="58" t="str">
        <x:v>Existente / cíclica</x:v>
      </x:c>
      <x:c r="F6" s="58" t="str">
        <x:v>Cobre, hierro, aluminio, China, capex, deuda y FCF</x:v>
      </x:c>
      <x:c r="G6" s="58" t="str">
        <x:v>PER 16.05x; FCF 4,025m; deuda neta 14,362m</x:v>
      </x:c>
      <x:c r="H6" s="58" t="str">
        <x:v>Producción y caja deben sostener dividendo/capex sin elevar demasiado deuda</x:v>
      </x:c>
      <x:c r="I6" s="58" t="str">
        <x:v>Caída persistente de precios, capex descontrolado o deuda al alza</x:v>
      </x:c>
      <x:c r="J6" s="58" t="str">
        <x:v>Comparar resultados y actualizar sensibilidad por commodity</x:v>
      </x:c>
      <x:c r="K6" s="58" t="str">
        <x:v>RIO-H1-26</x:v>
      </x:c>
      <x:c r="L6" s="103" t="str">
        <x:f>IF(D6&lt;=DATE(2026,8,4),"REVISAR YA",IF(D6&lt;=DATE(2026,9,3),"PRÓXIMA","PROGRAMADA"))</x:f>
        <x:v>PROGRAMADA</x:v>
      </x:c>
    </x:row>
    <x:row r="7" ht="145.1999969482422" hidden="0" customHeight="1">
      <x:c r="A7" s="58" t="str">
        <x:v>eToro</x:v>
      </x:c>
      <x:c r="B7" s="58" t="str">
        <x:v>ETOR</x:v>
      </x:c>
      <x:c r="C7" s="59" t="n">
        <x:v>46238</x:v>
      </x:c>
      <x:c r="D7" s="59" t="n">
        <x:v>46245</x:v>
      </x:c>
      <x:c r="E7" s="58" t="str">
        <x:v>Nueva / alto crecimiento</x:v>
      </x:c>
      <x:c r="F7" s="58" t="str">
        <x:v>Net contribution, EBITDA, activos, cuentas financiadas, cripto y recompras</x:v>
      </x:c>
      <x:c r="G7" s="58" t="str">
        <x:v>PER 15.47x; Q1 net contribution +19%; EBITDA +35%</x:v>
      </x:c>
      <x:c r="H7" s="58" t="str">
        <x:v>Crecimiento de clientes/activos y beneficios por encima de la volatilidad del mercado</x:v>
      </x:c>
      <x:c r="I7" s="58" t="str">
        <x:v>Cuentas/activos se estancan, cripto explica el beneficio o margen se deteriora</x:v>
      </x:c>
      <x:c r="J7" s="58" t="str">
        <x:v>Leer Q2; actualizar ingresos, cash flow, estructura dual y tesis</x:v>
      </x:c>
      <x:c r="K7" s="58" t="str">
        <x:v>ETOR-Q1-26</x:v>
      </x:c>
      <x:c r="L7" s="103" t="str">
        <x:f>IF(D7&lt;=DATE(2026,8,4),"REVISAR YA",IF(D7&lt;=DATE(2026,9,3),"PRÓXIMA","PROGRAMADA"))</x:f>
        <x:v>PRÓXIMA</x:v>
      </x:c>
    </x:row>
    <x:row r="8" ht="145.1999969482422" hidden="0" customHeight="1">
      <x:c r="A8" s="58" t="str">
        <x:v>HBX Group</x:v>
      </x:c>
      <x:c r="B8" s="58" t="str">
        <x:v>HBX</x:v>
      </x:c>
      <x:c r="C8" s="59" t="n">
        <x:v>46238</x:v>
      </x:c>
      <x:c r="D8" s="59" t="n">
        <x:v>46351</x:v>
      </x:c>
      <x:c r="E8" s="58" t="str">
        <x:v>Nueva / crecimiento-cíclica</x:v>
      </x:c>
      <x:c r="F8" s="58" t="str">
        <x:v>TTV, margen, FCF, deuda, recompra y guía</x:v>
      </x:c>
      <x:c r="G8" s="58" t="str">
        <x:v>PER 10.21x; deuda neta 741m; TTV H1 +17% CC</x:v>
      </x:c>
      <x:c r="H8" s="58" t="str">
        <x:v>Reducir deuda y mantener crecimiento/FCF pese a guía revisada</x:v>
      </x:c>
      <x:c r="I8" s="58" t="str">
        <x:v>Guía vuelve a recortarse, deuda/FCF empeora o transición directiva falla</x:v>
      </x:c>
      <x:c r="J8" s="58" t="str">
        <x:v>Leer FY26; revisar si el descuento frente a IPO tiene fundamento</x:v>
      </x:c>
      <x:c r="K8" s="58" t="str">
        <x:v>HBX-H1-26</x:v>
      </x:c>
      <x:c r="L8" s="103" t="str">
        <x:f>IF(D8&lt;=DATE(2026,8,4),"REVISAR YA",IF(D8&lt;=DATE(2026,9,3),"PRÓXIMA","PROGRAMADA"))</x:f>
        <x:v>PROGRAMADA</x:v>
      </x:c>
    </x:row>
    <x:row r="9" ht="132" hidden="0" customHeight="1">
      <x:c r="A9" s="58" t="str">
        <x:v>Figma</x:v>
      </x:c>
      <x:c r="B9" s="58" t="str">
        <x:v>FIG</x:v>
      </x:c>
      <x:c r="C9" s="59" t="n">
        <x:v>46238</x:v>
      </x:c>
      <x:c r="D9" s="59" t="n">
        <x:v>46239</x:v>
      </x:c>
      <x:c r="E9" s="58" t="str">
        <x:v>Nueva / alto crecimiento</x:v>
      </x:c>
      <x:c r="F9" s="58" t="str">
        <x:v>Ingresos, FCF, NDR, clientes, SBC y guidance</x:v>
      </x:c>
      <x:c r="G9" s="58" t="str">
        <x:v>PER negativo; ingresos FY25 1,056m; FCF 242.7m</x:v>
      </x:c>
      <x:c r="H9" s="58" t="str">
        <x:v>Crecimiento &gt;35%, NDR alto y FCF creciendo más rápido que SBC/dilución</x:v>
      </x:c>
      <x:c r="I9" s="58" t="str">
        <x:v>Crecimiento &lt;25%, NDR cae, SBC sigue absorbiendo caja o guidance baja</x:v>
      </x:c>
      <x:c r="J9" s="58" t="str">
        <x:v>Leer Q2 antes de comprar; actualizar valoración sobre FCF normalizado</x:v>
      </x:c>
      <x:c r="K9" s="58" t="str">
        <x:v>FIG-Q2</x:v>
      </x:c>
      <x:c r="L9" s="103" t="str">
        <x:f>IF(D9&lt;=DATE(2026,8,4),"REVISAR YA",IF(D9&lt;=DATE(2026,9,3),"PRÓXIMA","PROGRAMADA"))</x:f>
        <x:v>PRÓXIMA</x:v>
      </x:c>
    </x:row>
    <x:row r="10" ht="118.80000305175781" hidden="0" customHeight="1">
      <x:c r="A10" s="58" t="str">
        <x:v>JD Sports Fashion</x:v>
      </x:c>
      <x:c r="B10" s="58" t="str">
        <x:v>JD.</x:v>
      </x:c>
      <x:c r="C10" s="59" t="n">
        <x:v>46238</x:v>
      </x:c>
      <x:c r="D10" s="59" t="n">
        <x:v>46254</x:v>
      </x:c>
      <x:c r="E10" s="58" t="str">
        <x:v>Madura / crecimiento</x:v>
      </x:c>
      <x:c r="F10" s="58" t="str">
        <x:v>Ventas LFL, margen, inventario, EE. UU., FCF y recompras</x:v>
      </x:c>
      <x:c r="G10" s="58" t="str">
        <x:v>PER 9.99x; ventas +10.5%; FCF 462m; op. profit -5.4%</x:v>
      </x:c>
      <x:c r="H10" s="58" t="str">
        <x:v>Recuperación de margen y crecimiento LFL sin acumular inventario</x:v>
      </x:c>
      <x:c r="I10" s="58" t="str">
        <x:v>Margen sigue bajando, inventario aumenta o EE. UU. no recupera LFL</x:v>
      </x:c>
      <x:c r="J10" s="58" t="str">
        <x:v>Leer trading update; recalcular PER con EPS actualizado</x:v>
      </x:c>
      <x:c r="K10" s="58" t="str">
        <x:v>JD-FY26 / JD-BB</x:v>
      </x:c>
      <x:c r="L10" s="103" t="str">
        <x:f>IF(D10&lt;=DATE(2026,8,4),"REVISAR YA",IF(D10&lt;=DATE(2026,9,3),"PRÓXIMA","PROGRAMADA"))</x:f>
        <x:v>PRÓXIMA</x:v>
      </x:c>
    </x:row>
    <x:row r="11" ht="118.80000305175781" hidden="0" customHeight="1">
      <x:c r="A11" s="58" t="str">
        <x:v>PayPal</x:v>
      </x:c>
      <x:c r="B11" s="58" t="str">
        <x:v>PYPL</x:v>
      </x:c>
      <x:c r="C11" s="59" t="n">
        <x:v>46238</x:v>
      </x:c>
      <x:c r="D11" s="59" t="n">
        <x:v>46331</x:v>
      </x:c>
      <x:c r="E11" s="58" t="str">
        <x:v>Madura / recuperable</x:v>
      </x:c>
      <x:c r="F11" s="58" t="str">
        <x:v>TPV, branded checkout, cuentas activas, margen, FCF y recompras</x:v>
      </x:c>
      <x:c r="G11" s="58" t="str">
        <x:v>PER 11.03x; FCF 1,700m en Q1; TPV +11%; checkout +2%</x:v>
      </x:c>
      <x:c r="H11" s="58" t="str">
        <x:v>Branded checkout y cuentas activas deben acelerar sin sacrificar margen</x:v>
      </x:c>
      <x:c r="I11" s="58" t="str">
        <x:v>Checkout sigue plano, cuentas activas caen o FCF no sostiene recompras</x:v>
      </x:c>
      <x:c r="J11" s="58" t="str">
        <x:v>Leer 3T26; actualizar tesis de recuperación y margen de seguridad</x:v>
      </x:c>
      <x:c r="K11" s="58" t="str">
        <x:v>PYPL-Q1-26</x:v>
      </x:c>
      <x:c r="L11" s="103" t="str">
        <x:f>IF(D11&lt;=DATE(2026,8,4),"REVISAR YA",IF(D11&lt;=DATE(2026,9,3),"PRÓXIMA","PROGRAMADA"))</x:f>
        <x:v>PROGRAMADA</x:v>
      </x:c>
    </x:row>
    <x:row r="12" ht="145.1999969482422" hidden="0" customHeight="1">
      <x:c r="A12" s="58" t="str">
        <x:v>Wise</x:v>
      </x:c>
      <x:c r="B12" s="58" t="str">
        <x:v>WISE</x:v>
      </x:c>
      <x:c r="C12" s="59" t="n">
        <x:v>46238</x:v>
      </x:c>
      <x:c r="D12" s="59" t="n">
        <x:v>46310</x:v>
      </x:c>
      <x:c r="E12" s="58" t="str">
        <x:v>Alto crecimiento / calidad</x:v>
      </x:c>
      <x:c r="F12" s="58" t="str">
        <x:v>Clientes, volumen, holdings, take rate, margen antes de impuestos y caja utilizable</x:v>
      </x:c>
      <x:c r="G12" s="58" t="str">
        <x:v>PER 24.38x; FY26 net revenue +19%; Q1 FY27 +25%; take rate 50bps</x:v>
      </x:c>
      <x:c r="H12" s="58" t="str">
        <x:v>Mantener crecimiento 15–20% y margen cercano al 20–25% mientras baja el take rate</x:v>
      </x:c>
      <x:c r="I12" s="58" t="str">
        <x:v>Crecimiento cae claramente, take rate baja sin escala o valoración exige más de lo que entrega</x:v>
      </x:c>
      <x:c r="J12" s="58" t="str">
        <x:v>Confirmar calendario; comparar Q2 FY27 contra Q1 y FY26</x:v>
      </x:c>
      <x:c r="K12" s="58" t="str">
        <x:v>WISE-Q1-27 / WISE-CAL</x:v>
      </x:c>
      <x:c r="L12" s="103" t="str">
        <x:f>IF(D12&lt;=DATE(2026,8,4),"REVISAR YA",IF(D12&lt;=DATE(2026,9,3),"PRÓXIMA","PROGRAMADA"))</x:f>
        <x:v>PROGRAMADA</x:v>
      </x:c>
    </x:row>
    <x:row r="13" ht="145.1999969482422" hidden="0" customHeight="1">
      <x:c r="A13" s="58" t="str">
        <x:v>Auto Trader</x:v>
      </x:c>
      <x:c r="B13" s="58" t="str">
        <x:v>AUTO</x:v>
      </x:c>
      <x:c r="C13" s="59" t="n">
        <x:v>46238</x:v>
      </x:c>
      <x:c r="D13" s="59" t="n">
        <x:v>46331</x:v>
      </x:c>
      <x:c r="E13" s="58" t="str">
        <x:v>Madura / crecimiento</x:v>
      </x:c>
      <x:c r="F13" s="58" t="str">
        <x:v>Forecourts, stock pagado, ARPR, margen, Deal Builder, FCF y deuda</x:v>
      </x:c>
      <x:c r="G13" s="58" t="str">
        <x:v>PER 15.58x; margen operativo 63%; ARPR +5%; deuda neta 146.8m</x:v>
      </x:c>
      <x:c r="H13" s="58" t="str">
        <x:v>Concesionarios vuelven a aceptar Deal Builder y ARPR/margen siguen creciendo</x:v>
      </x:c>
      <x:c r="I13" s="58" t="str">
        <x:v>Stock pagado cae, concesionarios abandonan la plataforma o deuda sube sin retorno</x:v>
      </x:c>
      <x:c r="J13" s="58" t="str">
        <x:v>Leer interinos; actualizar crecimiento, FCF y valoración</x:v>
      </x:c>
      <x:c r="K13" s="58" t="str">
        <x:v>AUTO-FY26 / AUTO-CAL</x:v>
      </x:c>
      <x:c r="L13" s="103" t="str">
        <x:f>IF(D13&lt;=DATE(2026,8,4),"REVISAR YA",IF(D13&lt;=DATE(2026,9,3),"PRÓXIMA","PROGRAMADA"))</x:f>
        <x:v>PROGRAMADA</x:v>
      </x:c>
    </x:row>
    <x:row r="14" ht="158.39999389648438" hidden="0" customHeight="1">
      <x:c r="A14" s="58" t="str">
        <x:v>B&amp;M European Value Retail</x:v>
      </x:c>
      <x:c r="B14" s="58" t="str">
        <x:v>BME</x:v>
      </x:c>
      <x:c r="C14" s="59" t="n">
        <x:v>46238</x:v>
      </x:c>
      <x:c r="D14" s="59" t="n">
        <x:v>46338</x:v>
      </x:c>
      <x:c r="E14" s="58" t="str">
        <x:v>Recuperable / cíclica</x:v>
      </x:c>
      <x:c r="F14" s="58" t="str">
        <x:v>LFL UK, margen EBITDA, Francia, inventarios, FCF, deuda y dividendo</x:v>
      </x:c>
      <x:c r="G14" s="58" t="str">
        <x:v>PER calculado 13.85x; FCF 321m; deuda neta 656m; UK LFL -2.3%</x:v>
      </x:c>
      <x:c r="H14" s="58" t="str">
        <x:v>LFL UK pasa a positivo y el margen se recupera hacia doble dígito a medio plazo</x:v>
      </x:c>
      <x:c r="I14" s="58" t="str">
        <x:v>LFL sigue negativo, margen no recupera o deuda/dividendo dejan de ser sostenibles</x:v>
      </x:c>
      <x:c r="J14" s="58" t="str">
        <x:v>Confirmar fecha; comparar H1 y decidir si el turnaround sigue vivo</x:v>
      </x:c>
      <x:c r="K14" s="58" t="str">
        <x:v>BME-Q1-27 / BME-CAL</x:v>
      </x:c>
      <x:c r="L14" s="103" t="str">
        <x:f>IF(D14&lt;=DATE(2026,8,4),"REVISAR YA",IF(D14&lt;=DATE(2026,9,3),"PRÓXIMA","PROGRAMADA"))</x:f>
        <x:v>PROGRAMADA</x:v>
      </x:c>
    </x:row>
    <x:row r="15" ht="118.80000305175781" hidden="0" customHeight="1">
      <x:c r="A15" s="58" t="str">
        <x:v>Kainos Group</x:v>
      </x:c>
      <x:c r="B15" s="58" t="str">
        <x:v>KNOS</x:v>
      </x:c>
      <x:c r="C15" s="59" t="n">
        <x:v>46238</x:v>
      </x:c>
      <x:c r="D15" s="59" t="n">
        <x:v>46272</x:v>
      </x:c>
      <x:c r="E15" s="58" t="str">
        <x:v>Crecimiento / nicho</x:v>
      </x:c>
      <x:c r="F15" s="58" t="str">
        <x:v>ARR Workday, bookings, backlog, margen, contratistas y caja</x:v>
      </x:c>
      <x:c r="G15" s="58" t="str">
        <x:v>PER calculado 23.10x; ARR +23%; backlog +18%; caja neta 89.1m</x:v>
      </x:c>
      <x:c r="H15" s="58" t="str">
        <x:v>ARR hacia 100m y backlog convierten crecimiento en margen/caja</x:v>
      </x:c>
      <x:c r="I15" s="58" t="str">
        <x:v>Margen cae, backlog no convierte o caja se consume sin retorno</x:v>
      </x:c>
      <x:c r="J15" s="58" t="str">
        <x:v>Leer trading update; actualizar PER y conversión de backlog</x:v>
      </x:c>
      <x:c r="K15" s="58" t="str">
        <x:v>KNOS-FY26 / KNOS-CAL</x:v>
      </x:c>
      <x:c r="L15" s="103" t="str">
        <x:f>IF(D15&lt;=DATE(2026,8,4),"REVISAR YA",IF(D15&lt;=DATE(2026,9,3),"PRÓXIMA","PROGRAMADA"))</x:f>
        <x:v>PROGRAMADA</x:v>
      </x:c>
    </x:row>
    <x:row r="16" ht="132" hidden="0" customHeight="1">
      <x:c r="A16" s="58" t="str">
        <x:v>Plus500</x:v>
      </x:c>
      <x:c r="B16" s="58" t="str">
        <x:v>PLUS</x:v>
      </x:c>
      <x:c r="C16" s="59" t="n">
        <x:v>46238</x:v>
      </x:c>
      <x:c r="D16" s="59" t="n">
        <x:v>46244</x:v>
      </x:c>
      <x:c r="E16" s="58" t="str">
        <x:v>Madura / cíclica</x:v>
      </x:c>
      <x:c r="F16" s="58" t="str">
        <x:v>Customer Income, EBITDA, margen, clientes, new customers, caja y regulación</x:v>
      </x:c>
      <x:c r="G16" s="58" t="str">
        <x:v>PER 12.84x; H1 revenue +12%; EBITDA +1%; caja &gt;850m</x:v>
      </x:c>
      <x:c r="H16" s="58" t="str">
        <x:v>Customer Income y clientes crecen; margen no se comprime al escalar negocios no-OTC</x:v>
      </x:c>
      <x:c r="I16" s="58" t="str">
        <x:v>Resultado débil, caída de clientes, regulación adversa o margen sigue cayendo</x:v>
      </x:c>
      <x:c r="J16" s="58" t="str">
        <x:v>Leer H1; revisar dividendo/recompra y si el precio ya descuenta la mejora</x:v>
      </x:c>
      <x:c r="K16" s="58" t="str">
        <x:v>PLUS-H1-26 / PLUS-CAL</x:v>
      </x:c>
      <x:c r="L16" s="103" t="str">
        <x:f>IF(D16&lt;=DATE(2026,8,4),"REVISAR YA",IF(D16&lt;=DATE(2026,9,3),"PRÓXIMA","PROGRAMADA"))</x:f>
        <x:v>PRÓXIMA</x:v>
      </x:c>
    </x:row>
    <x:row r="17" ht="15" hidden="0" customHeight="1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</x:row>
    <x:row r="18" ht="15" hidden="0" customHeight="1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</x:row>
    <x:row r="19" ht="15" hidden="0" customHeight="1">
      <x:c r="A19" s="36" t="str">
        <x:v>Protocolo de revisión</x:v>
      </x:c>
      <x:c r="B19" s="36" t="str">
        <x:v>Protocolo de revisión</x:v>
      </x:c>
      <x:c r="C19" s="36" t="str">
        <x:v>Protocolo de revisión</x:v>
      </x:c>
      <x:c r="D19" s="36" t="str">
        <x:v>Protocolo de revisión</x:v>
      </x:c>
      <x:c r="E19" s="36" t="str">
        <x:v>Protocolo de revisión</x:v>
      </x:c>
      <x:c r="F19" s="36" t="str">
        <x:v>Protocolo de revisión</x:v>
      </x:c>
      <x:c r="G19" s="36" t="str">
        <x:v>Protocolo de revisión</x:v>
      </x:c>
      <x:c r="H19" s="36" t="str">
        <x:v>Protocolo de revisión</x:v>
      </x:c>
      <x:c r="I19" s="36" t="str">
        <x:v>Protocolo de revisión</x:v>
      </x:c>
      <x:c r="J19" s="36" t="str">
        <x:v>Protocolo de revisión</x:v>
      </x:c>
      <x:c r="K19" s="36" t="str">
        <x:v>Protocolo de revisión</x:v>
      </x:c>
      <x:c r="L19" s="36" t="str">
        <x:v>Protocolo de revisión</x:v>
      </x:c>
    </x:row>
    <x:row r="20" ht="15" hidden="0" customHeight="1">
      <x:c r="A20" s="77" t="str">
        <x:v>1</x:v>
      </x:c>
      <x:c r="B20" s="33" t="str">
        <x:v>Cuando llegue la fecha, consulta primero el comunicado oficial y la presentación de resultados.</x:v>
      </x:c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</x:row>
    <x:row r="21" ht="15" hidden="0" customHeight="1">
      <x:c r="A21" s="77" t="str">
        <x:v>2</x:v>
      </x:c>
      <x:c r="B21" s="33" t="str">
        <x:v>Copia una nueva fila en Historial: no sobreescribas el periodo anterior.</x:v>
      </x:c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</x:row>
    <x:row r="22" ht="15" hidden="0" customHeight="1">
      <x:c r="A22" s="77" t="str">
        <x:v>3</x:v>
      </x:c>
      <x:c r="B22" s="33" t="str">
        <x:v>Actualiza precio, PER, EPS, ventas, crecimiento, FCF, deuda/caja y el dato operativo clave.</x:v>
      </x:c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</x:row>
    <x:row r="23" ht="15" hidden="0" customHeight="1">
      <x:c r="A23" s="77" t="str">
        <x:v>4</x:v>
      </x:c>
      <x:c r="B23" s="33" t="str">
        <x:v>Compara el dato nuevo con Qué debe mejorar y Condición de invalidación.</x:v>
      </x:c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</x:row>
    <x:row r="24" ht="15" hidden="0" customHeight="1">
      <x:c r="A24" s="77" t="str">
        <x:v>5</x:v>
      </x:c>
      <x:c r="B24" s="33" t="str">
        <x:v>Solo después cambia el veredicto/prioridad y deja constancia de la fuente y fecha.</x:v>
      </x:c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</x:row>
  </x:sheetData>
  <x:mergeCells>
    <x:mergeCell ref="A1:L1"/>
    <x:mergeCell ref="A2:L2"/>
    <x:mergeCell ref="A19:L19"/>
    <x:mergeCell ref="B20:L20"/>
    <x:mergeCell ref="B21:L21"/>
    <x:mergeCell ref="B22:L22"/>
    <x:mergeCell ref="B23:L23"/>
    <x:mergeCell ref="B24:L24"/>
  </x:mergeCells>
  <x:conditionalFormatting sqref="A5:L16">
    <x:cfRule type="containsText" dxfId="4" priority="1" operator="containsText" text="REVISAR YA"/>
    <x:cfRule type="containsText" dxfId="5" priority="2" operator="containsText" text="PRÓXIMA"/>
    <x:cfRule type="containsText" dxfId="6" priority="3" operator="containsText" text="PROGRAMADA"/>
  </x:conditionalFormatting>
  <x:pageMargins left="0.7" right="0.7" top="0.75" bottom="0.75" header="0.3" footer="0.3"/>
  <x:tableParts count="1">
    <x:tablePart xmlns:r="http://schemas.openxmlformats.org/officeDocument/2006/relationships" r:id="Rfbb44965d078493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" hidden="0" customWidth="1"/>
    <x:col min="3" max="3" width="12" hidden="0" customWidth="1"/>
    <x:col min="4" max="4" width="11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3" hidden="0" customWidth="1"/>
    <x:col min="10" max="10" width="66" hidden="0" customWidth="1"/>
  </x:cols>
  <x:sheetData>
    <x:row r="1" ht="19.200000762939453" hidden="0" customHeight="1">
      <x:c r="A1" s="34" t="str">
        <x:v>Ideas cribadas pero no seleccionadas</x:v>
      </x:c>
      <x:c r="B1" s="34" t="str">
        <x:v>Ideas cribadas pero no seleccionadas</x:v>
      </x:c>
      <x:c r="C1" s="34" t="str">
        <x:v>Ideas cribadas pero no seleccionadas</x:v>
      </x:c>
      <x:c r="D1" s="34" t="str">
        <x:v>Ideas cribadas pero no seleccionadas</x:v>
      </x:c>
      <x:c r="E1" s="34" t="str">
        <x:v>Ideas cribadas pero no seleccionadas</x:v>
      </x:c>
      <x:c r="F1" s="34" t="str">
        <x:v>Ideas cribadas pero no seleccionadas</x:v>
      </x:c>
      <x:c r="G1" s="34" t="str">
        <x:v>Ideas cribadas pero no seleccionadas</x:v>
      </x:c>
      <x:c r="H1" s="34" t="str">
        <x:v>Ideas cribadas pero no seleccionadas</x:v>
      </x:c>
      <x:c r="I1" s="34" t="str">
        <x:v>Ideas cribadas pero no seleccionadas</x:v>
      </x:c>
      <x:c r="J1" s="34" t="str">
        <x:v>Ideas cribadas pero no seleccionadas</x:v>
      </x:c>
    </x:row>
    <x:row r="2" ht="24" hidden="0" customHeight="1">
      <x:c r="A2" s="8" t="str">
        <x:v>No significa que sean malas empresas: indica que hoy no superan el filtro de precio, riesgo o evidencia para nuestra lista inicial.</x:v>
      </x:c>
      <x:c r="B2" s="8" t="str">
        <x:v>No significa que sean malas empresas: indica que hoy no superan el filtro de precio, riesgo o evidencia para nuestra lista inicial.</x:v>
      </x:c>
      <x:c r="C2" s="8" t="str">
        <x:v>No significa que sean malas empresas: indica que hoy no superan el filtro de precio, riesgo o evidencia para nuestra lista inicial.</x:v>
      </x:c>
      <x:c r="D2" s="8" t="str">
        <x:v>No significa que sean malas empresas: indica que hoy no superan el filtro de precio, riesgo o evidencia para nuestra lista inicial.</x:v>
      </x:c>
      <x:c r="E2" s="8" t="str">
        <x:v>No significa que sean malas empresas: indica que hoy no superan el filtro de precio, riesgo o evidencia para nuestra lista inicial.</x:v>
      </x:c>
      <x:c r="F2" s="8" t="str">
        <x:v>No significa que sean malas empresas: indica que hoy no superan el filtro de precio, riesgo o evidencia para nuestra lista inicial.</x:v>
      </x:c>
      <x:c r="G2" s="8" t="str">
        <x:v>No significa que sean malas empresas: indica que hoy no superan el filtro de precio, riesgo o evidencia para nuestra lista inicial.</x:v>
      </x:c>
      <x:c r="H2" s="8" t="str">
        <x:v>No significa que sean malas empresas: indica que hoy no superan el filtro de precio, riesgo o evidencia para nuestra lista inicial.</x:v>
      </x:c>
      <x:c r="I2" s="8" t="str">
        <x:v>No significa que sean malas empresas: indica que hoy no superan el filtro de precio, riesgo o evidencia para nuestra lista inicial.</x:v>
      </x:c>
      <x:c r="J2" s="8" t="str">
        <x:v>No significa que sean malas empresas: indica que hoy no superan el filtro de precio, riesgo o evidencia para nuestra lista inicial.</x:v>
      </x:c>
    </x:row>
    <x:row r="3" ht="15" hidden="0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</x:row>
    <x:row r="4" ht="36" hidden="0" customHeight="1">
      <x:c r="A4" s="20" t="str">
        <x:v>Empresa</x:v>
      </x:c>
      <x:c r="B4" s="20" t="str">
        <x:v>Ticker</x:v>
      </x:c>
      <x:c r="C4" s="20" t="str">
        <x:v>Fecha salida</x:v>
      </x:c>
      <x:c r="D4" s="20" t="str">
        <x:v>Precio</x:v>
      </x:c>
      <x:c r="E4" s="20" t="str">
        <x:v>PER</x:v>
      </x:c>
      <x:c r="F4" s="20" t="str">
        <x:v>Rent. 1 año</x:v>
      </x:c>
      <x:c r="G4" s="20" t="str">
        <x:v>Ventas FY25 (m)</x:v>
      </x:c>
      <x:c r="H4" s="20" t="str">
        <x:v>Crec. ventas</x:v>
      </x:c>
      <x:c r="I4" s="20" t="str">
        <x:v>FCF FY25 (m)</x:v>
      </x:c>
      <x:c r="J4" s="20" t="str">
        <x:v>Motivo de no selección</x:v>
      </x:c>
    </x:row>
    <x:row r="5" ht="250.8000030517578" hidden="0" customHeight="1">
      <x:c r="A5" s="58" t="str">
        <x:v>Applied Nutrition</x:v>
      </x:c>
      <x:c r="B5" s="58" t="str">
        <x:v>APN</x:v>
      </x:c>
      <x:c r="C5" s="59" t="n">
        <x:v>45589</x:v>
      </x:c>
      <x:c r="D5" s="60" t="n">
        <x:v>329</x:v>
      </x:c>
      <x:c r="E5" s="62" t="n">
        <x:v>39.17</x:v>
      </x:c>
      <x:c r="F5" s="63" t="n">
        <x:v>1.4962</x:v>
      </x:c>
      <x:c r="G5" s="58" t="n">
        <x:v>107.1</x:v>
      </x:c>
      <x:c r="H5" s="63" t="n">
        <x:v>0.242</x:v>
      </x:c>
      <x:c r="I5" s="58" t="n">
        <x:v>16.5</x:v>
      </x:c>
      <x:c r="J5" s="58" t="str">
        <x:v>Crecimiento y caja interesantes, pero el precio ya descuenta mucho: +150% en un año, PER ~39x y sin dividendo. Volver a mirar si el crecimiento acelera o corrige la cotización.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7e595bf2401c4c4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18" hidden="0" customWidth="1"/>
    <x:col min="4" max="4" width="62" hidden="0" customWidth="1"/>
  </x:cols>
  <x:sheetData>
    <x:row r="1" ht="19.200000762939453" hidden="0" customHeight="1">
      <x:c r="A1" s="34" t="str">
        <x:v>Checks del modelo</x:v>
      </x:c>
      <x:c r="B1" s="34" t="str">
        <x:v>Checks del modelo</x:v>
      </x:c>
      <x:c r="C1" s="34" t="str">
        <x:v>Checks del modelo</x:v>
      </x:c>
      <x:c r="D1" s="34" t="str">
        <x:v>Checks del modelo</x:v>
      </x:c>
    </x:row>
    <x:row r="2" ht="48" hidden="0" customHeight="1">
      <x:c r="A2" s="8" t="str">
        <x:v>Estas comprobaciones son visibles para detectar una watchlist incompleta. La búsqueda de errores de fórmula se ejecuta también al exportar.</x:v>
      </x:c>
      <x:c r="B2" s="8" t="str">
        <x:v>Estas comprobaciones son visibles para detectar una watchlist incompleta. La búsqueda de errores de fórmula se ejecuta también al exportar.</x:v>
      </x:c>
      <x:c r="C2" s="8" t="str">
        <x:v>Estas comprobaciones son visibles para detectar una watchlist incompleta. La búsqueda de errores de fórmula se ejecuta también al exportar.</x:v>
      </x:c>
      <x:c r="D2" s="8" t="str">
        <x:v>Estas comprobaciones son visibles para detectar una watchlist incompleta. La búsqueda de errores de fórmula se ejecuta también al exportar.</x:v>
      </x:c>
    </x:row>
    <x:row r="3" ht="15" hidden="0" customHeight="1">
      <x:c r="A3" s="33"/>
      <x:c r="B3" s="33"/>
      <x:c r="C3" s="33"/>
      <x:c r="D3" s="33"/>
    </x:row>
    <x:row r="4" ht="24" hidden="0" customHeight="1">
      <x:c r="A4" s="20" t="str">
        <x:v>Comprobación</x:v>
      </x:c>
      <x:c r="B4" s="20" t="str">
        <x:v>Valor</x:v>
      </x:c>
      <x:c r="C4" s="20" t="str">
        <x:v>Estado</x:v>
      </x:c>
      <x:c r="D4" s="20" t="str">
        <x:v>Qué significa</x:v>
      </x:c>
    </x:row>
    <x:row r="5" ht="79.19999694824219" hidden="0" customHeight="1">
      <x:c r="A5" s="35" t="str">
        <x:v>Filas de watchlist</x:v>
      </x:c>
      <x:c r="B5" s="28" t="n">
        <x:f>COUNTA('Watchlist'!A5:A16)</x:f>
        <x:v>12</x:v>
      </x:c>
      <x:c r="C5" s="103" t="str">
        <x:f>IF(B5=12,"OK","REVISAR")</x:f>
        <x:v>OK</x:v>
      </x:c>
      <x:c r="D5" s="33" t="str">
        <x:v>Debe haber 12 compañías seleccionadas.</x:v>
      </x:c>
    </x:row>
    <x:row r="6" ht="79.19999694824219" hidden="0" customHeight="1">
      <x:c r="A6" s="35" t="str">
        <x:v>Totales de checklist</x:v>
      </x:c>
      <x:c r="B6" s="28" t="n">
        <x:f>COUNT('Checklist_Lynch'!L5:L16)</x:f>
        <x:v>12</x:v>
      </x:c>
      <x:c r="C6" s="103" t="str">
        <x:f>IF(B6=12,"OK","REVISAR")</x:f>
        <x:v>OK</x:v>
      </x:c>
      <x:c r="D6" s="33" t="str">
        <x:v>Cada empresa debe tener un total calculado.</x:v>
      </x:c>
    </x:row>
    <x:row r="7" ht="79.19999694824219" hidden="0" customHeight="1">
      <x:c r="A7" s="35" t="str">
        <x:v>Fuentes de mercado y resultados</x:v>
      </x:c>
      <x:c r="B7" s="28" t="n">
        <x:f>COUNTIF('Watchlist'!Y5:Y16,"&lt;&gt;")+COUNTIF('Watchlist'!Z5:Z16,"&lt;&gt;")</x:f>
        <x:v>24</x:v>
      </x:c>
      <x:c r="C7" s="103" t="str">
        <x:f>IF(B7=24,"OK","REVISAR")</x:f>
        <x:v>OK</x:v>
      </x:c>
      <x:c r="D7" s="33" t="str">
        <x:v>Cada fila principal debe tener ambos IDs.</x:v>
      </x:c>
    </x:row>
    <x:row r="8" ht="79.19999694824219" hidden="0" customHeight="1">
      <x:c r="A8" s="35" t="str">
        <x:v>Celdas de score vacías</x:v>
      </x:c>
      <x:c r="B8" s="28" t="n">
        <x:f>COUNTBLANK('Watchlist'!AA5:AA16)</x:f>
        <x:v>0</x:v>
      </x:c>
      <x:c r="C8" s="103" t="str">
        <x:f>IF(B8=0,"OK","REVISAR")</x:f>
        <x:v>OK</x:v>
      </x:c>
      <x:c r="D8" s="33" t="str">
        <x:v>No debe faltar el enlace al total de Checklist_Lynch.</x:v>
      </x:c>
    </x:row>
    <x:row r="9" ht="52.79999923706055" hidden="0" customHeight="1">
      <x:c r="A9" s="35" t="str">
        <x:v>Escala máxima</x:v>
      </x:c>
      <x:c r="B9" s="28" t="n">
        <x:f>MAX('Checklist_Lynch'!L5:L16)</x:f>
        <x:v>14</x:v>
      </x:c>
      <x:c r="C9" s="103" t="str">
        <x:f>IF(B9&lt;=16,"OK","REVISAR")</x:f>
        <x:v>OK</x:v>
      </x:c>
      <x:c r="D9" s="33" t="str">
        <x:v>El máximo permitido por fila es 16.</x:v>
      </x:c>
    </x:row>
    <x:row r="10" ht="79.19999694824219" hidden="0" customHeight="1">
      <x:c r="A10" s="35" t="str">
        <x:v>Modelo</x:v>
      </x:c>
      <x:c r="B10" s="28" t="n">
        <x:f>COUNTIF(C5:C9,"REVISAR")</x:f>
        <x:v>0</x:v>
      </x:c>
      <x:c r="C10" s="103" t="str">
        <x:f>IF(B10=0,"MODELO OK","HAY QUE REVISAR")</x:f>
        <x:v>MODELO OK</x:v>
      </x:c>
      <x:c r="D10" s="33" t="str">
        <x:v>Resumen de las comprobaciones anteriores.</x:v>
      </x:c>
    </x:row>
    <x:row r="11" ht="66" hidden="0" customHeight="1">
      <x:c r="A11" s="35" t="str">
        <x:v>Fecha de corte</x:v>
      </x:c>
      <x:c r="B11" s="107" t="n">
        <x:v>46238</x:v>
      </x:c>
      <x:c r="C11" s="103" t="str">
        <x:f>IF(B11=DATE(2026,8,4),"OK","REVISAR")</x:f>
        <x:v>OK</x:v>
      </x:c>
      <x:c r="D11" s="33" t="str">
        <x:v>Actualiza esta fecha cuando refresques los datos.</x:v>
      </x:c>
    </x:row>
    <x:row r="12" ht="105.5999984741211" hidden="0" customHeight="1">
      <x:c r="A12" s="35" t="str">
        <x:v>Recordatorio</x:v>
      </x:c>
      <x:c r="B12" s="28" t="str">
        <x:v>No es recomendación</x:v>
      </x:c>
      <x:c r="C12" s="103" t="str">
        <x:v>INFO</x:v>
      </x:c>
      <x:c r="D12" s="33" t="str">
        <x:v>Verifica siempre fuentes, precio, impuestos, divisa y tu perfil de riesgo.</x:v>
      </x:c>
    </x:row>
    <x:row r="13" ht="79.19999694824219" hidden="0" customHeight="1">
      <x:c r="A13" s="35" t="str">
        <x:v>Filas de seguimiento</x:v>
      </x:c>
      <x:c r="B13" s="28" t="n">
        <x:f>COUNTA('Seguimiento'!A5:A16)</x:f>
        <x:v>12</x:v>
      </x:c>
      <x:c r="C13" s="103" t="str">
        <x:f>IF(B13=12,"OK","REVISAR")</x:f>
        <x:v>OK</x:v>
      </x:c>
      <x:c r="D13" s="33" t="str">
        <x:v>Cada compañía debe tener una próxima revisión.</x:v>
      </x:c>
    </x:row>
  </x:sheetData>
  <x:mergeCells>
    <x:mergeCell ref="A1:D1"/>
    <x:mergeCell ref="A2:D2"/>
  </x:mergeCells>
  <x:conditionalFormatting sqref="C5:C13">
    <x:cfRule type="containsText" dxfId="7" priority="1" operator="containsText" text="OK"/>
    <x:cfRule type="containsText" dxfId="8" priority="2" operator="containsText" text="REVISAR"/>
  </x:conditionalFormatting>
  <x:pageMargins left="0.7" right="0.7" top="0.75" bottom="0.75" header="0.3" footer="0.3"/>
  <x:tableParts count="1">
    <x:tablePart xmlns:r="http://schemas.openxmlformats.org/officeDocument/2006/relationships" r:id="Red749d5370804c65"/>
  </x:tableParts>
</x:worksheet>
</file>